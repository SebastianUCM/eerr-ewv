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quipo\Downloads\"/>
    </mc:Choice>
  </mc:AlternateContent>
  <xr:revisionPtr revIDLastSave="0" documentId="8_{7A1B4CA8-788C-440D-947F-B34AE7600CF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Año 2025" sheetId="1" r:id="rId1"/>
    <sheet name="obligacion leasing 2026" sheetId="3" state="hidden" r:id="rId2"/>
    <sheet name="Año 2026" sheetId="2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4" i="1" l="1"/>
  <c r="H134" i="1"/>
  <c r="I134" i="1"/>
  <c r="J134" i="1"/>
  <c r="K134" i="1"/>
  <c r="L134" i="1"/>
  <c r="M134" i="1"/>
  <c r="N134" i="1"/>
  <c r="O134" i="1"/>
  <c r="Q134" i="1" s="1"/>
  <c r="D130" i="1"/>
  <c r="E130" i="1"/>
  <c r="F130" i="1"/>
  <c r="G130" i="1"/>
  <c r="H130" i="1"/>
  <c r="I130" i="1"/>
  <c r="J130" i="1"/>
  <c r="K130" i="1"/>
  <c r="L130" i="1"/>
  <c r="M130" i="1"/>
  <c r="N130" i="1"/>
  <c r="O130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Q131" i="1" s="1"/>
  <c r="D119" i="1"/>
  <c r="E119" i="1"/>
  <c r="F119" i="1"/>
  <c r="G119" i="1"/>
  <c r="H119" i="1"/>
  <c r="I119" i="1"/>
  <c r="J119" i="1"/>
  <c r="K119" i="1"/>
  <c r="L119" i="1"/>
  <c r="M119" i="1"/>
  <c r="N119" i="1"/>
  <c r="O119" i="1"/>
  <c r="K124" i="1"/>
  <c r="L124" i="1"/>
  <c r="M124" i="1"/>
  <c r="D159" i="2"/>
  <c r="K3" i="3"/>
  <c r="L180" i="1"/>
  <c r="L178" i="1"/>
  <c r="Q165" i="1"/>
  <c r="Q163" i="1"/>
  <c r="P163" i="1"/>
  <c r="Q161" i="1"/>
  <c r="Q160" i="1"/>
  <c r="O159" i="1"/>
  <c r="N159" i="1"/>
  <c r="Q159" i="1" s="1"/>
  <c r="M159" i="1"/>
  <c r="L159" i="1"/>
  <c r="K159" i="1"/>
  <c r="J159" i="1"/>
  <c r="I159" i="1"/>
  <c r="H159" i="1"/>
  <c r="G159" i="1"/>
  <c r="F159" i="1"/>
  <c r="E159" i="1"/>
  <c r="D159" i="1"/>
  <c r="Q158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O156" i="1"/>
  <c r="N156" i="1"/>
  <c r="Q156" i="1" s="1"/>
  <c r="M156" i="1"/>
  <c r="L156" i="1"/>
  <c r="K156" i="1"/>
  <c r="J156" i="1"/>
  <c r="I156" i="1"/>
  <c r="H156" i="1"/>
  <c r="G156" i="1"/>
  <c r="F156" i="1"/>
  <c r="E156" i="1"/>
  <c r="D156" i="1"/>
  <c r="O155" i="1"/>
  <c r="N155" i="1"/>
  <c r="Q155" i="1" s="1"/>
  <c r="M155" i="1"/>
  <c r="L155" i="1"/>
  <c r="K155" i="1"/>
  <c r="J155" i="1"/>
  <c r="I155" i="1"/>
  <c r="H155" i="1"/>
  <c r="G155" i="1"/>
  <c r="F155" i="1"/>
  <c r="E155" i="1"/>
  <c r="D155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O151" i="1"/>
  <c r="Q151" i="1" s="1"/>
  <c r="N151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O149" i="1"/>
  <c r="N149" i="1"/>
  <c r="Q149" i="1" s="1"/>
  <c r="M149" i="1"/>
  <c r="L149" i="1"/>
  <c r="K149" i="1"/>
  <c r="J149" i="1"/>
  <c r="I149" i="1"/>
  <c r="I147" i="1" s="1"/>
  <c r="I162" i="1" s="1"/>
  <c r="H149" i="1"/>
  <c r="G149" i="1"/>
  <c r="F149" i="1"/>
  <c r="E149" i="1"/>
  <c r="D149" i="1"/>
  <c r="O148" i="1"/>
  <c r="N148" i="1"/>
  <c r="N147" i="1" s="1"/>
  <c r="N162" i="1" s="1"/>
  <c r="M148" i="1"/>
  <c r="L148" i="1"/>
  <c r="K148" i="1"/>
  <c r="J148" i="1"/>
  <c r="I148" i="1"/>
  <c r="H148" i="1"/>
  <c r="G148" i="1"/>
  <c r="F148" i="1"/>
  <c r="E148" i="1"/>
  <c r="D148" i="1"/>
  <c r="Q146" i="1"/>
  <c r="Q145" i="1"/>
  <c r="Q144" i="1"/>
  <c r="Q143" i="1"/>
  <c r="Q142" i="1"/>
  <c r="Q140" i="1"/>
  <c r="Q138" i="1"/>
  <c r="P138" i="1"/>
  <c r="Q136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F134" i="1"/>
  <c r="E134" i="1"/>
  <c r="D134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O124" i="1"/>
  <c r="N124" i="1"/>
  <c r="Q124" i="1" s="1"/>
  <c r="J124" i="1"/>
  <c r="I124" i="1"/>
  <c r="H124" i="1"/>
  <c r="G124" i="1"/>
  <c r="F124" i="1"/>
  <c r="E124" i="1"/>
  <c r="D124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O122" i="1"/>
  <c r="N122" i="1"/>
  <c r="Q122" i="1" s="1"/>
  <c r="M122" i="1"/>
  <c r="L122" i="1"/>
  <c r="K122" i="1"/>
  <c r="J122" i="1"/>
  <c r="I122" i="1"/>
  <c r="H122" i="1"/>
  <c r="G122" i="1"/>
  <c r="F122" i="1"/>
  <c r="E122" i="1"/>
  <c r="D122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O120" i="1"/>
  <c r="N120" i="1"/>
  <c r="Q120" i="1" s="1"/>
  <c r="M120" i="1"/>
  <c r="L120" i="1"/>
  <c r="K120" i="1"/>
  <c r="J120" i="1"/>
  <c r="I120" i="1"/>
  <c r="H120" i="1"/>
  <c r="G120" i="1"/>
  <c r="F120" i="1"/>
  <c r="E120" i="1"/>
  <c r="D120" i="1"/>
  <c r="O118" i="1"/>
  <c r="Q118" i="1" s="1"/>
  <c r="N118" i="1"/>
  <c r="M118" i="1"/>
  <c r="L118" i="1"/>
  <c r="K118" i="1"/>
  <c r="J118" i="1"/>
  <c r="I118" i="1"/>
  <c r="H118" i="1"/>
  <c r="G118" i="1"/>
  <c r="F118" i="1"/>
  <c r="E118" i="1"/>
  <c r="D118" i="1"/>
  <c r="P116" i="1"/>
  <c r="O116" i="1"/>
  <c r="N116" i="1"/>
  <c r="Q116" i="1" s="1"/>
  <c r="O115" i="1"/>
  <c r="N115" i="1"/>
  <c r="M115" i="1"/>
  <c r="L115" i="1"/>
  <c r="K115" i="1"/>
  <c r="J115" i="1"/>
  <c r="I115" i="1"/>
  <c r="H115" i="1"/>
  <c r="G115" i="1"/>
  <c r="F115" i="1"/>
  <c r="E115" i="1"/>
  <c r="D115" i="1"/>
  <c r="O114" i="1"/>
  <c r="N114" i="1"/>
  <c r="N113" i="1" s="1"/>
  <c r="M114" i="1"/>
  <c r="M113" i="1" s="1"/>
  <c r="L114" i="1"/>
  <c r="L113" i="1" s="1"/>
  <c r="K114" i="1"/>
  <c r="J114" i="1"/>
  <c r="J113" i="1" s="1"/>
  <c r="I114" i="1"/>
  <c r="I113" i="1" s="1"/>
  <c r="H114" i="1"/>
  <c r="G114" i="1"/>
  <c r="G113" i="1" s="1"/>
  <c r="F114" i="1"/>
  <c r="F113" i="1" s="1"/>
  <c r="E114" i="1"/>
  <c r="E113" i="1" s="1"/>
  <c r="D114" i="1"/>
  <c r="D113" i="1" s="1"/>
  <c r="K113" i="1"/>
  <c r="O112" i="1"/>
  <c r="N112" i="1"/>
  <c r="N111" i="1" s="1"/>
  <c r="M112" i="1"/>
  <c r="M111" i="1" s="1"/>
  <c r="L112" i="1"/>
  <c r="K112" i="1"/>
  <c r="K111" i="1" s="1"/>
  <c r="J112" i="1"/>
  <c r="J111" i="1" s="1"/>
  <c r="I112" i="1"/>
  <c r="I111" i="1" s="1"/>
  <c r="H112" i="1"/>
  <c r="H111" i="1" s="1"/>
  <c r="G112" i="1"/>
  <c r="G111" i="1" s="1"/>
  <c r="F112" i="1"/>
  <c r="F111" i="1" s="1"/>
  <c r="E112" i="1"/>
  <c r="D112" i="1"/>
  <c r="D111" i="1" s="1"/>
  <c r="L111" i="1"/>
  <c r="O110" i="1"/>
  <c r="N110" i="1"/>
  <c r="Q110" i="1" s="1"/>
  <c r="M110" i="1"/>
  <c r="L110" i="1"/>
  <c r="K110" i="1"/>
  <c r="J110" i="1"/>
  <c r="I110" i="1"/>
  <c r="H110" i="1"/>
  <c r="G110" i="1"/>
  <c r="F110" i="1"/>
  <c r="E110" i="1"/>
  <c r="D110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O107" i="1"/>
  <c r="N107" i="1"/>
  <c r="M107" i="1"/>
  <c r="L107" i="1"/>
  <c r="L106" i="1" s="1"/>
  <c r="K107" i="1"/>
  <c r="J107" i="1"/>
  <c r="I107" i="1"/>
  <c r="H107" i="1"/>
  <c r="H106" i="1" s="1"/>
  <c r="G107" i="1"/>
  <c r="F107" i="1"/>
  <c r="E107" i="1"/>
  <c r="D107" i="1"/>
  <c r="O105" i="1"/>
  <c r="N105" i="1"/>
  <c r="Q105" i="1" s="1"/>
  <c r="M105" i="1"/>
  <c r="L105" i="1"/>
  <c r="K105" i="1"/>
  <c r="J105" i="1"/>
  <c r="I105" i="1"/>
  <c r="H105" i="1"/>
  <c r="G105" i="1"/>
  <c r="F105" i="1"/>
  <c r="E105" i="1"/>
  <c r="D105" i="1"/>
  <c r="O104" i="1"/>
  <c r="N104" i="1"/>
  <c r="M104" i="1"/>
  <c r="L104" i="1"/>
  <c r="L103" i="1" s="1"/>
  <c r="K104" i="1"/>
  <c r="K103" i="1" s="1"/>
  <c r="J104" i="1"/>
  <c r="J103" i="1" s="1"/>
  <c r="I104" i="1"/>
  <c r="I103" i="1" s="1"/>
  <c r="H104" i="1"/>
  <c r="H103" i="1" s="1"/>
  <c r="G104" i="1"/>
  <c r="F104" i="1"/>
  <c r="F103" i="1" s="1"/>
  <c r="E104" i="1"/>
  <c r="D104" i="1"/>
  <c r="M103" i="1"/>
  <c r="O102" i="1"/>
  <c r="O101" i="1" s="1"/>
  <c r="N102" i="1"/>
  <c r="N101" i="1" s="1"/>
  <c r="M102" i="1"/>
  <c r="M101" i="1" s="1"/>
  <c r="L102" i="1"/>
  <c r="L101" i="1" s="1"/>
  <c r="K102" i="1"/>
  <c r="K101" i="1" s="1"/>
  <c r="J102" i="1"/>
  <c r="J101" i="1" s="1"/>
  <c r="I102" i="1"/>
  <c r="H102" i="1"/>
  <c r="H101" i="1" s="1"/>
  <c r="G102" i="1"/>
  <c r="G101" i="1" s="1"/>
  <c r="F102" i="1"/>
  <c r="E102" i="1"/>
  <c r="E101" i="1" s="1"/>
  <c r="D102" i="1"/>
  <c r="D101" i="1" s="1"/>
  <c r="I101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O99" i="1"/>
  <c r="N99" i="1"/>
  <c r="M99" i="1"/>
  <c r="L99" i="1"/>
  <c r="K99" i="1"/>
  <c r="J99" i="1"/>
  <c r="I99" i="1"/>
  <c r="H99" i="1"/>
  <c r="G99" i="1"/>
  <c r="F99" i="1"/>
  <c r="E99" i="1"/>
  <c r="D99" i="1"/>
  <c r="O98" i="1"/>
  <c r="N98" i="1"/>
  <c r="M98" i="1"/>
  <c r="L98" i="1"/>
  <c r="K98" i="1"/>
  <c r="J98" i="1"/>
  <c r="I98" i="1"/>
  <c r="H98" i="1"/>
  <c r="G98" i="1"/>
  <c r="F98" i="1"/>
  <c r="E98" i="1"/>
  <c r="D98" i="1"/>
  <c r="O97" i="1"/>
  <c r="N97" i="1"/>
  <c r="Q97" i="1" s="1"/>
  <c r="M97" i="1"/>
  <c r="L97" i="1"/>
  <c r="K97" i="1"/>
  <c r="J97" i="1"/>
  <c r="I97" i="1"/>
  <c r="H97" i="1"/>
  <c r="G97" i="1"/>
  <c r="F97" i="1"/>
  <c r="E97" i="1"/>
  <c r="D97" i="1"/>
  <c r="O96" i="1"/>
  <c r="N96" i="1"/>
  <c r="M96" i="1"/>
  <c r="L96" i="1"/>
  <c r="K96" i="1"/>
  <c r="J96" i="1"/>
  <c r="I96" i="1"/>
  <c r="H96" i="1"/>
  <c r="G96" i="1"/>
  <c r="F96" i="1"/>
  <c r="E96" i="1"/>
  <c r="D96" i="1"/>
  <c r="O95" i="1"/>
  <c r="N95" i="1"/>
  <c r="Q95" i="1" s="1"/>
  <c r="M95" i="1"/>
  <c r="L95" i="1"/>
  <c r="K95" i="1"/>
  <c r="J95" i="1"/>
  <c r="I95" i="1"/>
  <c r="H95" i="1"/>
  <c r="G95" i="1"/>
  <c r="F95" i="1"/>
  <c r="F94" i="1" s="1"/>
  <c r="E95" i="1"/>
  <c r="D95" i="1"/>
  <c r="O93" i="1"/>
  <c r="N93" i="1"/>
  <c r="M93" i="1"/>
  <c r="L93" i="1"/>
  <c r="K93" i="1"/>
  <c r="J93" i="1"/>
  <c r="I93" i="1"/>
  <c r="H93" i="1"/>
  <c r="G93" i="1"/>
  <c r="F93" i="1"/>
  <c r="E93" i="1"/>
  <c r="D93" i="1"/>
  <c r="O92" i="1"/>
  <c r="N92" i="1"/>
  <c r="M92" i="1"/>
  <c r="L92" i="1"/>
  <c r="K92" i="1"/>
  <c r="J92" i="1"/>
  <c r="I92" i="1"/>
  <c r="H92" i="1"/>
  <c r="G92" i="1"/>
  <c r="F92" i="1"/>
  <c r="E92" i="1"/>
  <c r="D92" i="1"/>
  <c r="O91" i="1"/>
  <c r="N91" i="1"/>
  <c r="Q91" i="1" s="1"/>
  <c r="M91" i="1"/>
  <c r="L91" i="1"/>
  <c r="K91" i="1"/>
  <c r="J91" i="1"/>
  <c r="I91" i="1"/>
  <c r="H91" i="1"/>
  <c r="G91" i="1"/>
  <c r="F91" i="1"/>
  <c r="E91" i="1"/>
  <c r="D91" i="1"/>
  <c r="O90" i="1"/>
  <c r="N90" i="1"/>
  <c r="M90" i="1"/>
  <c r="L90" i="1"/>
  <c r="K90" i="1"/>
  <c r="J90" i="1"/>
  <c r="I90" i="1"/>
  <c r="H90" i="1"/>
  <c r="G90" i="1"/>
  <c r="F90" i="1"/>
  <c r="E90" i="1"/>
  <c r="D90" i="1"/>
  <c r="O89" i="1"/>
  <c r="Q89" i="1" s="1"/>
  <c r="N89" i="1"/>
  <c r="M89" i="1"/>
  <c r="L89" i="1"/>
  <c r="K89" i="1"/>
  <c r="J89" i="1"/>
  <c r="I89" i="1"/>
  <c r="H89" i="1"/>
  <c r="G89" i="1"/>
  <c r="F89" i="1"/>
  <c r="E89" i="1"/>
  <c r="D89" i="1"/>
  <c r="O88" i="1"/>
  <c r="N88" i="1"/>
  <c r="M88" i="1"/>
  <c r="L88" i="1"/>
  <c r="K88" i="1"/>
  <c r="J88" i="1"/>
  <c r="I88" i="1"/>
  <c r="H88" i="1"/>
  <c r="G88" i="1"/>
  <c r="F88" i="1"/>
  <c r="E88" i="1"/>
  <c r="D88" i="1"/>
  <c r="O87" i="1"/>
  <c r="N87" i="1"/>
  <c r="M87" i="1"/>
  <c r="L87" i="1"/>
  <c r="K87" i="1"/>
  <c r="J87" i="1"/>
  <c r="I87" i="1"/>
  <c r="H87" i="1"/>
  <c r="G87" i="1"/>
  <c r="F87" i="1"/>
  <c r="E87" i="1"/>
  <c r="D87" i="1"/>
  <c r="O86" i="1"/>
  <c r="N86" i="1"/>
  <c r="M86" i="1"/>
  <c r="L86" i="1"/>
  <c r="K86" i="1"/>
  <c r="J86" i="1"/>
  <c r="I86" i="1"/>
  <c r="H86" i="1"/>
  <c r="G86" i="1"/>
  <c r="F86" i="1"/>
  <c r="E86" i="1"/>
  <c r="D86" i="1"/>
  <c r="O85" i="1"/>
  <c r="N85" i="1"/>
  <c r="M85" i="1"/>
  <c r="L85" i="1"/>
  <c r="K85" i="1"/>
  <c r="J85" i="1"/>
  <c r="I85" i="1"/>
  <c r="H85" i="1"/>
  <c r="G85" i="1"/>
  <c r="F85" i="1"/>
  <c r="E85" i="1"/>
  <c r="D85" i="1"/>
  <c r="O84" i="1"/>
  <c r="N84" i="1"/>
  <c r="M84" i="1"/>
  <c r="L84" i="1"/>
  <c r="K84" i="1"/>
  <c r="J84" i="1"/>
  <c r="I84" i="1"/>
  <c r="H84" i="1"/>
  <c r="G84" i="1"/>
  <c r="F84" i="1"/>
  <c r="E84" i="1"/>
  <c r="D84" i="1"/>
  <c r="O83" i="1"/>
  <c r="N83" i="1"/>
  <c r="Q83" i="1" s="1"/>
  <c r="M83" i="1"/>
  <c r="L83" i="1"/>
  <c r="K83" i="1"/>
  <c r="J83" i="1"/>
  <c r="I83" i="1"/>
  <c r="H83" i="1"/>
  <c r="G83" i="1"/>
  <c r="F83" i="1"/>
  <c r="E83" i="1"/>
  <c r="D83" i="1"/>
  <c r="O82" i="1"/>
  <c r="N82" i="1"/>
  <c r="M82" i="1"/>
  <c r="L82" i="1"/>
  <c r="K82" i="1"/>
  <c r="J82" i="1"/>
  <c r="I82" i="1"/>
  <c r="H82" i="1"/>
  <c r="G82" i="1"/>
  <c r="F82" i="1"/>
  <c r="E82" i="1"/>
  <c r="D82" i="1"/>
  <c r="O81" i="1"/>
  <c r="N81" i="1"/>
  <c r="Q81" i="1" s="1"/>
  <c r="M81" i="1"/>
  <c r="L81" i="1"/>
  <c r="K81" i="1"/>
  <c r="J81" i="1"/>
  <c r="I81" i="1"/>
  <c r="H81" i="1"/>
  <c r="G81" i="1"/>
  <c r="F81" i="1"/>
  <c r="E81" i="1"/>
  <c r="D81" i="1"/>
  <c r="O80" i="1"/>
  <c r="N80" i="1"/>
  <c r="M80" i="1"/>
  <c r="L80" i="1"/>
  <c r="K80" i="1"/>
  <c r="J80" i="1"/>
  <c r="I80" i="1"/>
  <c r="H80" i="1"/>
  <c r="G80" i="1"/>
  <c r="F80" i="1"/>
  <c r="E80" i="1"/>
  <c r="D80" i="1"/>
  <c r="O79" i="1"/>
  <c r="N79" i="1"/>
  <c r="Q79" i="1" s="1"/>
  <c r="M79" i="1"/>
  <c r="L79" i="1"/>
  <c r="K79" i="1"/>
  <c r="J79" i="1"/>
  <c r="I79" i="1"/>
  <c r="H79" i="1"/>
  <c r="G79" i="1"/>
  <c r="F79" i="1"/>
  <c r="E79" i="1"/>
  <c r="D79" i="1"/>
  <c r="O78" i="1"/>
  <c r="N78" i="1"/>
  <c r="Q78" i="1" s="1"/>
  <c r="M78" i="1"/>
  <c r="L78" i="1"/>
  <c r="K78" i="1"/>
  <c r="J78" i="1"/>
  <c r="I78" i="1"/>
  <c r="H78" i="1"/>
  <c r="G78" i="1"/>
  <c r="F78" i="1"/>
  <c r="E78" i="1"/>
  <c r="D78" i="1"/>
  <c r="O77" i="1"/>
  <c r="N77" i="1"/>
  <c r="M77" i="1"/>
  <c r="L77" i="1"/>
  <c r="K77" i="1"/>
  <c r="J77" i="1"/>
  <c r="I77" i="1"/>
  <c r="H77" i="1"/>
  <c r="G77" i="1"/>
  <c r="F77" i="1"/>
  <c r="E77" i="1"/>
  <c r="D77" i="1"/>
  <c r="O76" i="1"/>
  <c r="N76" i="1"/>
  <c r="Q76" i="1" s="1"/>
  <c r="M76" i="1"/>
  <c r="L76" i="1"/>
  <c r="K76" i="1"/>
  <c r="J76" i="1"/>
  <c r="I76" i="1"/>
  <c r="H76" i="1"/>
  <c r="G76" i="1"/>
  <c r="F76" i="1"/>
  <c r="E76" i="1"/>
  <c r="D76" i="1"/>
  <c r="O75" i="1"/>
  <c r="N75" i="1"/>
  <c r="M75" i="1"/>
  <c r="L75" i="1"/>
  <c r="K75" i="1"/>
  <c r="J75" i="1"/>
  <c r="I75" i="1"/>
  <c r="H75" i="1"/>
  <c r="G75" i="1"/>
  <c r="F75" i="1"/>
  <c r="E75" i="1"/>
  <c r="D75" i="1"/>
  <c r="O74" i="1"/>
  <c r="N74" i="1"/>
  <c r="M74" i="1"/>
  <c r="L74" i="1"/>
  <c r="K74" i="1"/>
  <c r="J74" i="1"/>
  <c r="I74" i="1"/>
  <c r="H74" i="1"/>
  <c r="G74" i="1"/>
  <c r="F74" i="1"/>
  <c r="E74" i="1"/>
  <c r="D74" i="1"/>
  <c r="O73" i="1"/>
  <c r="N73" i="1"/>
  <c r="Q73" i="1" s="1"/>
  <c r="M73" i="1"/>
  <c r="L73" i="1"/>
  <c r="K73" i="1"/>
  <c r="J73" i="1"/>
  <c r="I73" i="1"/>
  <c r="H73" i="1"/>
  <c r="G73" i="1"/>
  <c r="F73" i="1"/>
  <c r="E73" i="1"/>
  <c r="D73" i="1"/>
  <c r="O72" i="1"/>
  <c r="N72" i="1"/>
  <c r="M72" i="1"/>
  <c r="L72" i="1"/>
  <c r="K72" i="1"/>
  <c r="J72" i="1"/>
  <c r="I72" i="1"/>
  <c r="H72" i="1"/>
  <c r="G72" i="1"/>
  <c r="F72" i="1"/>
  <c r="E72" i="1"/>
  <c r="D72" i="1"/>
  <c r="O71" i="1"/>
  <c r="N71" i="1"/>
  <c r="M71" i="1"/>
  <c r="L71" i="1"/>
  <c r="K71" i="1"/>
  <c r="J71" i="1"/>
  <c r="I71" i="1"/>
  <c r="H71" i="1"/>
  <c r="G71" i="1"/>
  <c r="F71" i="1"/>
  <c r="E71" i="1"/>
  <c r="D71" i="1"/>
  <c r="O70" i="1"/>
  <c r="N70" i="1"/>
  <c r="M70" i="1"/>
  <c r="L70" i="1"/>
  <c r="K70" i="1"/>
  <c r="J70" i="1"/>
  <c r="I70" i="1"/>
  <c r="H70" i="1"/>
  <c r="G70" i="1"/>
  <c r="F70" i="1"/>
  <c r="E70" i="1"/>
  <c r="D70" i="1"/>
  <c r="O68" i="1"/>
  <c r="N68" i="1"/>
  <c r="M68" i="1"/>
  <c r="L68" i="1"/>
  <c r="K68" i="1"/>
  <c r="J68" i="1"/>
  <c r="I68" i="1"/>
  <c r="H68" i="1"/>
  <c r="G68" i="1"/>
  <c r="F68" i="1"/>
  <c r="E68" i="1"/>
  <c r="D68" i="1"/>
  <c r="O67" i="1"/>
  <c r="N67" i="1"/>
  <c r="Q67" i="1" s="1"/>
  <c r="M67" i="1"/>
  <c r="L67" i="1"/>
  <c r="K67" i="1"/>
  <c r="J67" i="1"/>
  <c r="I67" i="1"/>
  <c r="H67" i="1"/>
  <c r="G67" i="1"/>
  <c r="F67" i="1"/>
  <c r="E67" i="1"/>
  <c r="D67" i="1"/>
  <c r="O66" i="1"/>
  <c r="N66" i="1"/>
  <c r="M66" i="1"/>
  <c r="L66" i="1"/>
  <c r="K66" i="1"/>
  <c r="J66" i="1"/>
  <c r="I66" i="1"/>
  <c r="H66" i="1"/>
  <c r="G66" i="1"/>
  <c r="F66" i="1"/>
  <c r="E66" i="1"/>
  <c r="D66" i="1"/>
  <c r="O65" i="1"/>
  <c r="N65" i="1"/>
  <c r="M65" i="1"/>
  <c r="L65" i="1"/>
  <c r="K65" i="1"/>
  <c r="J65" i="1"/>
  <c r="I65" i="1"/>
  <c r="H65" i="1"/>
  <c r="G65" i="1"/>
  <c r="F65" i="1"/>
  <c r="E65" i="1"/>
  <c r="D65" i="1"/>
  <c r="O64" i="1"/>
  <c r="N64" i="1"/>
  <c r="M64" i="1"/>
  <c r="L64" i="1"/>
  <c r="K64" i="1"/>
  <c r="J64" i="1"/>
  <c r="I64" i="1"/>
  <c r="H64" i="1"/>
  <c r="G64" i="1"/>
  <c r="F64" i="1"/>
  <c r="E64" i="1"/>
  <c r="D64" i="1"/>
  <c r="O63" i="1"/>
  <c r="N63" i="1"/>
  <c r="M63" i="1"/>
  <c r="L63" i="1"/>
  <c r="K63" i="1"/>
  <c r="J63" i="1"/>
  <c r="I63" i="1"/>
  <c r="H63" i="1"/>
  <c r="G63" i="1"/>
  <c r="F63" i="1"/>
  <c r="E63" i="1"/>
  <c r="D63" i="1"/>
  <c r="O61" i="1"/>
  <c r="N61" i="1"/>
  <c r="M61" i="1"/>
  <c r="L61" i="1"/>
  <c r="K61" i="1"/>
  <c r="J61" i="1"/>
  <c r="I61" i="1"/>
  <c r="H61" i="1"/>
  <c r="G61" i="1"/>
  <c r="F61" i="1"/>
  <c r="E61" i="1"/>
  <c r="D61" i="1"/>
  <c r="O60" i="1"/>
  <c r="N60" i="1"/>
  <c r="Q60" i="1" s="1"/>
  <c r="M60" i="1"/>
  <c r="L60" i="1"/>
  <c r="K60" i="1"/>
  <c r="J60" i="1"/>
  <c r="I60" i="1"/>
  <c r="H60" i="1"/>
  <c r="G60" i="1"/>
  <c r="F60" i="1"/>
  <c r="E60" i="1"/>
  <c r="D60" i="1"/>
  <c r="O59" i="1"/>
  <c r="N59" i="1"/>
  <c r="M59" i="1"/>
  <c r="L59" i="1"/>
  <c r="K59" i="1"/>
  <c r="J59" i="1"/>
  <c r="I59" i="1"/>
  <c r="H59" i="1"/>
  <c r="G59" i="1"/>
  <c r="F59" i="1"/>
  <c r="E59" i="1"/>
  <c r="D59" i="1"/>
  <c r="O58" i="1"/>
  <c r="N58" i="1"/>
  <c r="M58" i="1"/>
  <c r="L58" i="1"/>
  <c r="K58" i="1"/>
  <c r="J58" i="1"/>
  <c r="I58" i="1"/>
  <c r="H58" i="1"/>
  <c r="G58" i="1"/>
  <c r="F58" i="1"/>
  <c r="E58" i="1"/>
  <c r="D58" i="1"/>
  <c r="O57" i="1"/>
  <c r="N57" i="1"/>
  <c r="M57" i="1"/>
  <c r="L57" i="1"/>
  <c r="K57" i="1"/>
  <c r="J57" i="1"/>
  <c r="I57" i="1"/>
  <c r="H57" i="1"/>
  <c r="G57" i="1"/>
  <c r="F57" i="1"/>
  <c r="E57" i="1"/>
  <c r="D57" i="1"/>
  <c r="O55" i="1"/>
  <c r="N55" i="1"/>
  <c r="M55" i="1"/>
  <c r="L55" i="1"/>
  <c r="K55" i="1"/>
  <c r="J55" i="1"/>
  <c r="I55" i="1"/>
  <c r="H55" i="1"/>
  <c r="G55" i="1"/>
  <c r="F55" i="1"/>
  <c r="E55" i="1"/>
  <c r="D55" i="1"/>
  <c r="O54" i="1"/>
  <c r="N54" i="1"/>
  <c r="M54" i="1"/>
  <c r="M53" i="1" s="1"/>
  <c r="L54" i="1"/>
  <c r="K54" i="1"/>
  <c r="J54" i="1"/>
  <c r="I54" i="1"/>
  <c r="I53" i="1" s="1"/>
  <c r="H54" i="1"/>
  <c r="G54" i="1"/>
  <c r="F54" i="1"/>
  <c r="E54" i="1"/>
  <c r="D54" i="1"/>
  <c r="E53" i="1"/>
  <c r="O52" i="1"/>
  <c r="N52" i="1"/>
  <c r="M52" i="1"/>
  <c r="L52" i="1"/>
  <c r="K52" i="1"/>
  <c r="J52" i="1"/>
  <c r="I52" i="1"/>
  <c r="H52" i="1"/>
  <c r="G52" i="1"/>
  <c r="F52" i="1"/>
  <c r="E52" i="1"/>
  <c r="D52" i="1"/>
  <c r="O51" i="1"/>
  <c r="N51" i="1"/>
  <c r="Q51" i="1" s="1"/>
  <c r="M51" i="1"/>
  <c r="L51" i="1"/>
  <c r="K51" i="1"/>
  <c r="J51" i="1"/>
  <c r="I51" i="1"/>
  <c r="H51" i="1"/>
  <c r="G51" i="1"/>
  <c r="F51" i="1"/>
  <c r="E51" i="1"/>
  <c r="D51" i="1"/>
  <c r="O50" i="1"/>
  <c r="N50" i="1"/>
  <c r="M50" i="1"/>
  <c r="L50" i="1"/>
  <c r="K50" i="1"/>
  <c r="J50" i="1"/>
  <c r="I50" i="1"/>
  <c r="H50" i="1"/>
  <c r="G50" i="1"/>
  <c r="F50" i="1"/>
  <c r="E50" i="1"/>
  <c r="D50" i="1"/>
  <c r="O49" i="1"/>
  <c r="N49" i="1"/>
  <c r="Q49" i="1" s="1"/>
  <c r="M49" i="1"/>
  <c r="L49" i="1"/>
  <c r="K49" i="1"/>
  <c r="J49" i="1"/>
  <c r="I49" i="1"/>
  <c r="H49" i="1"/>
  <c r="G49" i="1"/>
  <c r="F49" i="1"/>
  <c r="E49" i="1"/>
  <c r="D49" i="1"/>
  <c r="O48" i="1"/>
  <c r="N48" i="1"/>
  <c r="M48" i="1"/>
  <c r="L48" i="1"/>
  <c r="K48" i="1"/>
  <c r="J48" i="1"/>
  <c r="I48" i="1"/>
  <c r="H48" i="1"/>
  <c r="G48" i="1"/>
  <c r="F48" i="1"/>
  <c r="E48" i="1"/>
  <c r="D48" i="1"/>
  <c r="O47" i="1"/>
  <c r="N47" i="1"/>
  <c r="M47" i="1"/>
  <c r="L47" i="1"/>
  <c r="K47" i="1"/>
  <c r="J47" i="1"/>
  <c r="I47" i="1"/>
  <c r="H47" i="1"/>
  <c r="G47" i="1"/>
  <c r="F47" i="1"/>
  <c r="E47" i="1"/>
  <c r="D47" i="1"/>
  <c r="O46" i="1"/>
  <c r="N46" i="1"/>
  <c r="M46" i="1"/>
  <c r="L46" i="1"/>
  <c r="K46" i="1"/>
  <c r="J46" i="1"/>
  <c r="I46" i="1"/>
  <c r="H46" i="1"/>
  <c r="G46" i="1"/>
  <c r="F46" i="1"/>
  <c r="E46" i="1"/>
  <c r="D46" i="1"/>
  <c r="O45" i="1"/>
  <c r="N45" i="1"/>
  <c r="M45" i="1"/>
  <c r="L45" i="1"/>
  <c r="K45" i="1"/>
  <c r="J45" i="1"/>
  <c r="I45" i="1"/>
  <c r="H45" i="1"/>
  <c r="G45" i="1"/>
  <c r="F45" i="1"/>
  <c r="E45" i="1"/>
  <c r="D45" i="1"/>
  <c r="O44" i="1"/>
  <c r="N44" i="1"/>
  <c r="M44" i="1"/>
  <c r="L44" i="1"/>
  <c r="K44" i="1"/>
  <c r="J44" i="1"/>
  <c r="I44" i="1"/>
  <c r="I43" i="1" s="1"/>
  <c r="H44" i="1"/>
  <c r="G44" i="1"/>
  <c r="F44" i="1"/>
  <c r="E44" i="1"/>
  <c r="D44" i="1"/>
  <c r="Q42" i="1"/>
  <c r="Q41" i="1"/>
  <c r="Q40" i="1"/>
  <c r="Q38" i="1"/>
  <c r="Q36" i="1"/>
  <c r="O35" i="1"/>
  <c r="N35" i="1"/>
  <c r="M35" i="1"/>
  <c r="L35" i="1"/>
  <c r="K35" i="1"/>
  <c r="J35" i="1"/>
  <c r="I35" i="1"/>
  <c r="H35" i="1"/>
  <c r="G35" i="1"/>
  <c r="F35" i="1"/>
  <c r="E35" i="1"/>
  <c r="D35" i="1"/>
  <c r="O34" i="1"/>
  <c r="N34" i="1"/>
  <c r="M34" i="1"/>
  <c r="L34" i="1"/>
  <c r="K34" i="1"/>
  <c r="J34" i="1"/>
  <c r="I34" i="1"/>
  <c r="H34" i="1"/>
  <c r="G34" i="1"/>
  <c r="F34" i="1"/>
  <c r="E34" i="1"/>
  <c r="D34" i="1"/>
  <c r="O33" i="1"/>
  <c r="N33" i="1"/>
  <c r="M33" i="1"/>
  <c r="L33" i="1"/>
  <c r="K33" i="1"/>
  <c r="J33" i="1"/>
  <c r="I33" i="1"/>
  <c r="H33" i="1"/>
  <c r="G33" i="1"/>
  <c r="F33" i="1"/>
  <c r="E33" i="1"/>
  <c r="D33" i="1"/>
  <c r="O32" i="1"/>
  <c r="N32" i="1"/>
  <c r="M32" i="1"/>
  <c r="L32" i="1"/>
  <c r="K32" i="1"/>
  <c r="J32" i="1"/>
  <c r="I32" i="1"/>
  <c r="H32" i="1"/>
  <c r="G32" i="1"/>
  <c r="F32" i="1"/>
  <c r="E32" i="1"/>
  <c r="D32" i="1"/>
  <c r="O31" i="1"/>
  <c r="N31" i="1"/>
  <c r="M31" i="1"/>
  <c r="L31" i="1"/>
  <c r="K31" i="1"/>
  <c r="J31" i="1"/>
  <c r="I31" i="1"/>
  <c r="H31" i="1"/>
  <c r="G31" i="1"/>
  <c r="F31" i="1"/>
  <c r="E31" i="1"/>
  <c r="D31" i="1"/>
  <c r="O30" i="1"/>
  <c r="N30" i="1"/>
  <c r="M30" i="1"/>
  <c r="L30" i="1"/>
  <c r="K30" i="1"/>
  <c r="J30" i="1"/>
  <c r="I30" i="1"/>
  <c r="H30" i="1"/>
  <c r="G30" i="1"/>
  <c r="F30" i="1"/>
  <c r="E30" i="1"/>
  <c r="D30" i="1"/>
  <c r="O29" i="1"/>
  <c r="N29" i="1"/>
  <c r="M29" i="1"/>
  <c r="L29" i="1"/>
  <c r="K29" i="1"/>
  <c r="J29" i="1"/>
  <c r="I29" i="1"/>
  <c r="H29" i="1"/>
  <c r="G29" i="1"/>
  <c r="F29" i="1"/>
  <c r="E29" i="1"/>
  <c r="D29" i="1"/>
  <c r="O28" i="1"/>
  <c r="N28" i="1"/>
  <c r="M28" i="1"/>
  <c r="L28" i="1"/>
  <c r="K28" i="1"/>
  <c r="J28" i="1"/>
  <c r="I28" i="1"/>
  <c r="H28" i="1"/>
  <c r="G28" i="1"/>
  <c r="F28" i="1"/>
  <c r="E28" i="1"/>
  <c r="D28" i="1"/>
  <c r="O27" i="1"/>
  <c r="N27" i="1"/>
  <c r="M27" i="1"/>
  <c r="L27" i="1"/>
  <c r="K27" i="1"/>
  <c r="J27" i="1"/>
  <c r="I27" i="1"/>
  <c r="H27" i="1"/>
  <c r="G27" i="1"/>
  <c r="F27" i="1"/>
  <c r="E27" i="1"/>
  <c r="D27" i="1"/>
  <c r="O26" i="1"/>
  <c r="N26" i="1"/>
  <c r="M26" i="1"/>
  <c r="L26" i="1"/>
  <c r="K26" i="1"/>
  <c r="J26" i="1"/>
  <c r="I26" i="1"/>
  <c r="H26" i="1"/>
  <c r="G26" i="1"/>
  <c r="F26" i="1"/>
  <c r="E26" i="1"/>
  <c r="D26" i="1"/>
  <c r="O25" i="1"/>
  <c r="N25" i="1"/>
  <c r="M25" i="1"/>
  <c r="L25" i="1"/>
  <c r="K25" i="1"/>
  <c r="J25" i="1"/>
  <c r="I25" i="1"/>
  <c r="H25" i="1"/>
  <c r="G25" i="1"/>
  <c r="F25" i="1"/>
  <c r="E25" i="1"/>
  <c r="D25" i="1"/>
  <c r="O24" i="1"/>
  <c r="N24" i="1"/>
  <c r="M24" i="1"/>
  <c r="L24" i="1"/>
  <c r="K24" i="1"/>
  <c r="J24" i="1"/>
  <c r="I24" i="1"/>
  <c r="H24" i="1"/>
  <c r="G24" i="1"/>
  <c r="F24" i="1"/>
  <c r="E24" i="1"/>
  <c r="D24" i="1"/>
  <c r="Q23" i="1"/>
  <c r="Q22" i="1"/>
  <c r="Q21" i="1"/>
  <c r="Q19" i="1"/>
  <c r="O18" i="1"/>
  <c r="N18" i="1"/>
  <c r="M18" i="1"/>
  <c r="L18" i="1"/>
  <c r="K18" i="1"/>
  <c r="J18" i="1"/>
  <c r="I18" i="1"/>
  <c r="H18" i="1"/>
  <c r="G18" i="1"/>
  <c r="F18" i="1"/>
  <c r="E18" i="1"/>
  <c r="D18" i="1"/>
  <c r="O17" i="1"/>
  <c r="N17" i="1"/>
  <c r="M17" i="1"/>
  <c r="L17" i="1"/>
  <c r="K17" i="1"/>
  <c r="J17" i="1"/>
  <c r="I17" i="1"/>
  <c r="H17" i="1"/>
  <c r="G17" i="1"/>
  <c r="F17" i="1"/>
  <c r="E17" i="1"/>
  <c r="D17" i="1"/>
  <c r="O16" i="1"/>
  <c r="N16" i="1"/>
  <c r="M16" i="1"/>
  <c r="L16" i="1"/>
  <c r="K16" i="1"/>
  <c r="J16" i="1"/>
  <c r="I16" i="1"/>
  <c r="H16" i="1"/>
  <c r="G16" i="1"/>
  <c r="F16" i="1"/>
  <c r="E16" i="1"/>
  <c r="D16" i="1"/>
  <c r="O15" i="1"/>
  <c r="N15" i="1"/>
  <c r="M15" i="1"/>
  <c r="L15" i="1"/>
  <c r="K15" i="1"/>
  <c r="J15" i="1"/>
  <c r="I15" i="1"/>
  <c r="H15" i="1"/>
  <c r="G15" i="1"/>
  <c r="F15" i="1"/>
  <c r="E15" i="1"/>
  <c r="D15" i="1"/>
  <c r="O14" i="1"/>
  <c r="N14" i="1"/>
  <c r="M14" i="1"/>
  <c r="L14" i="1"/>
  <c r="K14" i="1"/>
  <c r="J14" i="1"/>
  <c r="I14" i="1"/>
  <c r="H14" i="1"/>
  <c r="G14" i="1"/>
  <c r="F14" i="1"/>
  <c r="E14" i="1"/>
  <c r="D14" i="1"/>
  <c r="O13" i="1"/>
  <c r="N13" i="1"/>
  <c r="M13" i="1"/>
  <c r="L13" i="1"/>
  <c r="K13" i="1"/>
  <c r="J13" i="1"/>
  <c r="I13" i="1"/>
  <c r="H13" i="1"/>
  <c r="G13" i="1"/>
  <c r="F13" i="1"/>
  <c r="E13" i="1"/>
  <c r="D13" i="1"/>
  <c r="O12" i="1"/>
  <c r="N12" i="1"/>
  <c r="Q12" i="1" s="1"/>
  <c r="M12" i="1"/>
  <c r="L12" i="1"/>
  <c r="K12" i="1"/>
  <c r="J12" i="1"/>
  <c r="I12" i="1"/>
  <c r="H12" i="1"/>
  <c r="G12" i="1"/>
  <c r="F12" i="1"/>
  <c r="E12" i="1"/>
  <c r="D12" i="1"/>
  <c r="O11" i="1"/>
  <c r="N11" i="1"/>
  <c r="M11" i="1"/>
  <c r="L11" i="1"/>
  <c r="K11" i="1"/>
  <c r="J11" i="1"/>
  <c r="I11" i="1"/>
  <c r="H11" i="1"/>
  <c r="G11" i="1"/>
  <c r="F11" i="1"/>
  <c r="E11" i="1"/>
  <c r="D11" i="1"/>
  <c r="O10" i="1"/>
  <c r="N10" i="1"/>
  <c r="M10" i="1"/>
  <c r="L10" i="1"/>
  <c r="K10" i="1"/>
  <c r="J10" i="1"/>
  <c r="I10" i="1"/>
  <c r="H10" i="1"/>
  <c r="G10" i="1"/>
  <c r="F10" i="1"/>
  <c r="E10" i="1"/>
  <c r="D10" i="1"/>
  <c r="G69" i="1" l="1"/>
  <c r="D69" i="1"/>
  <c r="Q70" i="1"/>
  <c r="Q87" i="1"/>
  <c r="Q101" i="1"/>
  <c r="Q107" i="1"/>
  <c r="O106" i="1"/>
  <c r="Q47" i="1"/>
  <c r="P75" i="1"/>
  <c r="Q90" i="1"/>
  <c r="J106" i="1"/>
  <c r="P131" i="1"/>
  <c r="K94" i="1"/>
  <c r="P115" i="1"/>
  <c r="I37" i="1"/>
  <c r="O53" i="1"/>
  <c r="O56" i="1"/>
  <c r="Q59" i="1"/>
  <c r="Q68" i="1"/>
  <c r="Q75" i="1"/>
  <c r="Q99" i="1"/>
  <c r="P123" i="1"/>
  <c r="Q11" i="1"/>
  <c r="Q13" i="1"/>
  <c r="Q25" i="1"/>
  <c r="Q27" i="1"/>
  <c r="Q35" i="1"/>
  <c r="L53" i="1"/>
  <c r="P100" i="1"/>
  <c r="E106" i="1"/>
  <c r="M106" i="1"/>
  <c r="Q115" i="1"/>
  <c r="Q129" i="1"/>
  <c r="P130" i="1"/>
  <c r="F106" i="1"/>
  <c r="N106" i="1"/>
  <c r="J56" i="1"/>
  <c r="F62" i="1"/>
  <c r="J62" i="1"/>
  <c r="Q65" i="1"/>
  <c r="P92" i="1"/>
  <c r="G103" i="1"/>
  <c r="Q104" i="1"/>
  <c r="P61" i="1"/>
  <c r="P77" i="1"/>
  <c r="Q80" i="1"/>
  <c r="Q84" i="1"/>
  <c r="Q86" i="1"/>
  <c r="Q102" i="1"/>
  <c r="Q126" i="1"/>
  <c r="Q132" i="1"/>
  <c r="G147" i="1"/>
  <c r="G162" i="1" s="1"/>
  <c r="Q148" i="1"/>
  <c r="Q150" i="1"/>
  <c r="E37" i="1"/>
  <c r="P49" i="1"/>
  <c r="Q50" i="1"/>
  <c r="Q54" i="1"/>
  <c r="F56" i="1"/>
  <c r="Q57" i="1"/>
  <c r="Q10" i="1"/>
  <c r="Q14" i="1"/>
  <c r="G37" i="1"/>
  <c r="Q26" i="1"/>
  <c r="Q28" i="1"/>
  <c r="Q34" i="1"/>
  <c r="J53" i="1"/>
  <c r="K69" i="1"/>
  <c r="P25" i="1"/>
  <c r="P33" i="1"/>
  <c r="P35" i="1"/>
  <c r="P67" i="1"/>
  <c r="D53" i="1"/>
  <c r="P18" i="1"/>
  <c r="Q17" i="1"/>
  <c r="Q31" i="1"/>
  <c r="E43" i="1"/>
  <c r="K62" i="1"/>
  <c r="D20" i="1"/>
  <c r="L20" i="1"/>
  <c r="P11" i="1"/>
  <c r="P34" i="1"/>
  <c r="Q44" i="1"/>
  <c r="Q46" i="1"/>
  <c r="P59" i="1"/>
  <c r="K117" i="1"/>
  <c r="L117" i="1"/>
  <c r="G117" i="1"/>
  <c r="O117" i="1"/>
  <c r="P134" i="1"/>
  <c r="H117" i="1"/>
  <c r="H20" i="1"/>
  <c r="G20" i="1"/>
  <c r="P16" i="1"/>
  <c r="D37" i="1"/>
  <c r="L37" i="1"/>
  <c r="P32" i="1"/>
  <c r="H43" i="1"/>
  <c r="D43" i="1"/>
  <c r="Q48" i="1"/>
  <c r="Q55" i="1"/>
  <c r="I56" i="1"/>
  <c r="P58" i="1"/>
  <c r="Q61" i="1"/>
  <c r="I62" i="1"/>
  <c r="P64" i="1"/>
  <c r="P66" i="1"/>
  <c r="P70" i="1"/>
  <c r="N69" i="1"/>
  <c r="P72" i="1"/>
  <c r="P74" i="1"/>
  <c r="Q77" i="1"/>
  <c r="P83" i="1"/>
  <c r="P85" i="1"/>
  <c r="Q88" i="1"/>
  <c r="Q96" i="1"/>
  <c r="N94" i="1"/>
  <c r="P108" i="1"/>
  <c r="P125" i="1"/>
  <c r="Q128" i="1"/>
  <c r="Q130" i="1"/>
  <c r="J147" i="1"/>
  <c r="J162" i="1" s="1"/>
  <c r="F147" i="1"/>
  <c r="F162" i="1" s="1"/>
  <c r="P152" i="1"/>
  <c r="P154" i="1"/>
  <c r="Q157" i="1"/>
  <c r="M37" i="1"/>
  <c r="P26" i="1"/>
  <c r="P55" i="1"/>
  <c r="P60" i="1"/>
  <c r="P68" i="1"/>
  <c r="P76" i="1"/>
  <c r="P89" i="1"/>
  <c r="L94" i="1"/>
  <c r="P97" i="1"/>
  <c r="Q98" i="1"/>
  <c r="D103" i="1"/>
  <c r="I106" i="1"/>
  <c r="P118" i="1"/>
  <c r="Q119" i="1"/>
  <c r="Q121" i="1"/>
  <c r="Q123" i="1"/>
  <c r="P127" i="1"/>
  <c r="P129" i="1"/>
  <c r="K147" i="1"/>
  <c r="K162" i="1" s="1"/>
  <c r="P156" i="1"/>
  <c r="P13" i="1"/>
  <c r="Q16" i="1"/>
  <c r="Q18" i="1"/>
  <c r="N37" i="1"/>
  <c r="P28" i="1"/>
  <c r="Q29" i="1"/>
  <c r="Q33" i="1"/>
  <c r="Q52" i="1"/>
  <c r="P54" i="1"/>
  <c r="P53" i="1" s="1"/>
  <c r="N53" i="1"/>
  <c r="Q53" i="1" s="1"/>
  <c r="N56" i="1"/>
  <c r="Q56" i="1" s="1"/>
  <c r="Q64" i="1"/>
  <c r="N62" i="1"/>
  <c r="Q72" i="1"/>
  <c r="I69" i="1"/>
  <c r="P79" i="1"/>
  <c r="Q92" i="1"/>
  <c r="E94" i="1"/>
  <c r="M94" i="1"/>
  <c r="Q100" i="1"/>
  <c r="P104" i="1"/>
  <c r="K106" i="1"/>
  <c r="P110" i="1"/>
  <c r="E117" i="1"/>
  <c r="M117" i="1"/>
  <c r="P122" i="1"/>
  <c r="D147" i="1"/>
  <c r="D162" i="1" s="1"/>
  <c r="L147" i="1"/>
  <c r="L162" i="1" s="1"/>
  <c r="P150" i="1"/>
  <c r="K20" i="1"/>
  <c r="I20" i="1"/>
  <c r="I39" i="1" s="1"/>
  <c r="E20" i="1"/>
  <c r="J20" i="1"/>
  <c r="P15" i="1"/>
  <c r="P17" i="1"/>
  <c r="Q24" i="1"/>
  <c r="K37" i="1"/>
  <c r="Q45" i="1"/>
  <c r="J43" i="1"/>
  <c r="P51" i="1"/>
  <c r="G53" i="1"/>
  <c r="D56" i="1"/>
  <c r="L56" i="1"/>
  <c r="Q58" i="1"/>
  <c r="K56" i="1"/>
  <c r="D62" i="1"/>
  <c r="L62" i="1"/>
  <c r="P65" i="1"/>
  <c r="Q66" i="1"/>
  <c r="P73" i="1"/>
  <c r="L69" i="1"/>
  <c r="Q74" i="1"/>
  <c r="P78" i="1"/>
  <c r="P80" i="1"/>
  <c r="P82" i="1"/>
  <c r="Q85" i="1"/>
  <c r="P91" i="1"/>
  <c r="P93" i="1"/>
  <c r="J94" i="1"/>
  <c r="P99" i="1"/>
  <c r="P102" i="1"/>
  <c r="P101" i="1" s="1"/>
  <c r="N103" i="1"/>
  <c r="Q108" i="1"/>
  <c r="F117" i="1"/>
  <c r="N117" i="1"/>
  <c r="Q117" i="1" s="1"/>
  <c r="P120" i="1"/>
  <c r="P124" i="1"/>
  <c r="Q125" i="1"/>
  <c r="Q127" i="1"/>
  <c r="P133" i="1"/>
  <c r="E147" i="1"/>
  <c r="E162" i="1" s="1"/>
  <c r="M147" i="1"/>
  <c r="M162" i="1" s="1"/>
  <c r="Q152" i="1"/>
  <c r="Q154" i="1"/>
  <c r="P159" i="1"/>
  <c r="K174" i="1" s="1"/>
  <c r="L174" i="1" s="1"/>
  <c r="J37" i="1"/>
  <c r="J39" i="1" s="1"/>
  <c r="P30" i="1"/>
  <c r="P44" i="1"/>
  <c r="L43" i="1"/>
  <c r="M56" i="1"/>
  <c r="E62" i="1"/>
  <c r="M62" i="1"/>
  <c r="J69" i="1"/>
  <c r="P84" i="1"/>
  <c r="G94" i="1"/>
  <c r="D106" i="1"/>
  <c r="P112" i="1"/>
  <c r="P111" i="1" s="1"/>
  <c r="J117" i="1"/>
  <c r="P126" i="1"/>
  <c r="P135" i="1"/>
  <c r="P153" i="1"/>
  <c r="P155" i="1"/>
  <c r="M43" i="1"/>
  <c r="P47" i="1"/>
  <c r="P48" i="1"/>
  <c r="P87" i="1"/>
  <c r="P95" i="1"/>
  <c r="D94" i="1"/>
  <c r="P105" i="1"/>
  <c r="P103" i="1" s="1"/>
  <c r="P157" i="1"/>
  <c r="M20" i="1"/>
  <c r="M39" i="1" s="1"/>
  <c r="P12" i="1"/>
  <c r="H37" i="1"/>
  <c r="F20" i="1"/>
  <c r="N20" i="1"/>
  <c r="P14" i="1"/>
  <c r="Q15" i="1"/>
  <c r="F37" i="1"/>
  <c r="P27" i="1"/>
  <c r="Q30" i="1"/>
  <c r="Q32" i="1"/>
  <c r="F43" i="1"/>
  <c r="N43" i="1"/>
  <c r="P46" i="1"/>
  <c r="P50" i="1"/>
  <c r="G56" i="1"/>
  <c r="Q63" i="1"/>
  <c r="G62" i="1"/>
  <c r="Q71" i="1"/>
  <c r="P81" i="1"/>
  <c r="Q82" i="1"/>
  <c r="P86" i="1"/>
  <c r="P88" i="1"/>
  <c r="P90" i="1"/>
  <c r="Q93" i="1"/>
  <c r="I94" i="1"/>
  <c r="P96" i="1"/>
  <c r="P98" i="1"/>
  <c r="G106" i="1"/>
  <c r="Q112" i="1"/>
  <c r="Q114" i="1"/>
  <c r="I117" i="1"/>
  <c r="P119" i="1"/>
  <c r="P121" i="1"/>
  <c r="P128" i="1"/>
  <c r="P132" i="1"/>
  <c r="Q133" i="1"/>
  <c r="Q135" i="1"/>
  <c r="H147" i="1"/>
  <c r="H162" i="1" s="1"/>
  <c r="P149" i="1"/>
  <c r="P151" i="1"/>
  <c r="Q153" i="1"/>
  <c r="O20" i="1"/>
  <c r="P29" i="1"/>
  <c r="P31" i="1"/>
  <c r="G43" i="1"/>
  <c r="K43" i="1"/>
  <c r="P52" i="1"/>
  <c r="K53" i="1"/>
  <c r="H56" i="1"/>
  <c r="P63" i="1"/>
  <c r="M69" i="1"/>
  <c r="P71" i="1"/>
  <c r="Q106" i="1"/>
  <c r="K39" i="1"/>
  <c r="O69" i="1"/>
  <c r="P10" i="1"/>
  <c r="E56" i="1"/>
  <c r="P45" i="1"/>
  <c r="P109" i="1"/>
  <c r="P148" i="1"/>
  <c r="P24" i="1"/>
  <c r="E103" i="1"/>
  <c r="Q109" i="1"/>
  <c r="E111" i="1"/>
  <c r="O147" i="1"/>
  <c r="O37" i="1"/>
  <c r="O43" i="1"/>
  <c r="P107" i="1"/>
  <c r="D117" i="1"/>
  <c r="E69" i="1"/>
  <c r="P114" i="1"/>
  <c r="F53" i="1"/>
  <c r="H62" i="1"/>
  <c r="F69" i="1"/>
  <c r="H94" i="1"/>
  <c r="F101" i="1"/>
  <c r="O113" i="1"/>
  <c r="Q113" i="1" s="1"/>
  <c r="H53" i="1"/>
  <c r="P57" i="1"/>
  <c r="H69" i="1"/>
  <c r="O103" i="1"/>
  <c r="O111" i="1"/>
  <c r="Q111" i="1" s="1"/>
  <c r="O62" i="1"/>
  <c r="Q62" i="1" s="1"/>
  <c r="O94" i="1"/>
  <c r="G39" i="1" l="1"/>
  <c r="D39" i="1"/>
  <c r="L39" i="1"/>
  <c r="E39" i="1"/>
  <c r="H39" i="1"/>
  <c r="N39" i="1"/>
  <c r="Q69" i="1"/>
  <c r="Q20" i="1"/>
  <c r="P94" i="1"/>
  <c r="P56" i="1"/>
  <c r="F39" i="1"/>
  <c r="Q94" i="1"/>
  <c r="P43" i="1"/>
  <c r="Q103" i="1"/>
  <c r="P69" i="1"/>
  <c r="M137" i="1"/>
  <c r="M139" i="1" s="1"/>
  <c r="M141" i="1" s="1"/>
  <c r="L137" i="1"/>
  <c r="D137" i="1"/>
  <c r="I137" i="1"/>
  <c r="I139" i="1" s="1"/>
  <c r="P117" i="1"/>
  <c r="J137" i="1"/>
  <c r="J139" i="1" s="1"/>
  <c r="J141" i="1" s="1"/>
  <c r="N137" i="1"/>
  <c r="K137" i="1"/>
  <c r="K139" i="1" s="1"/>
  <c r="K141" i="1" s="1"/>
  <c r="G137" i="1"/>
  <c r="E137" i="1"/>
  <c r="P37" i="1"/>
  <c r="P20" i="1"/>
  <c r="F137" i="1"/>
  <c r="P147" i="1"/>
  <c r="K173" i="1" s="1"/>
  <c r="L173" i="1" s="1"/>
  <c r="P62" i="1"/>
  <c r="H137" i="1"/>
  <c r="H139" i="1" s="1"/>
  <c r="H141" i="1" s="1"/>
  <c r="P113" i="1"/>
  <c r="P106" i="1"/>
  <c r="Q43" i="1"/>
  <c r="O137" i="1"/>
  <c r="Q37" i="1"/>
  <c r="O39" i="1"/>
  <c r="Q147" i="1"/>
  <c r="O162" i="1"/>
  <c r="L139" i="1" l="1"/>
  <c r="D139" i="1"/>
  <c r="D164" i="1" s="1"/>
  <c r="D166" i="1" s="1"/>
  <c r="N139" i="1"/>
  <c r="N164" i="1" s="1"/>
  <c r="N166" i="1" s="1"/>
  <c r="G139" i="1"/>
  <c r="G141" i="1" s="1"/>
  <c r="E139" i="1"/>
  <c r="Q39" i="1"/>
  <c r="F139" i="1"/>
  <c r="F141" i="1" s="1"/>
  <c r="P162" i="1"/>
  <c r="M164" i="1"/>
  <c r="M166" i="1" s="1"/>
  <c r="D141" i="1"/>
  <c r="F164" i="1"/>
  <c r="F166" i="1" s="1"/>
  <c r="J164" i="1"/>
  <c r="J166" i="1" s="1"/>
  <c r="K164" i="1"/>
  <c r="K166" i="1" s="1"/>
  <c r="P39" i="1"/>
  <c r="H164" i="1"/>
  <c r="H166" i="1" s="1"/>
  <c r="P137" i="1"/>
  <c r="G164" i="1"/>
  <c r="G166" i="1" s="1"/>
  <c r="Q137" i="1"/>
  <c r="O139" i="1"/>
  <c r="O164" i="1" s="1"/>
  <c r="N141" i="1"/>
  <c r="I141" i="1"/>
  <c r="I164" i="1"/>
  <c r="I166" i="1" s="1"/>
  <c r="Q162" i="1"/>
  <c r="L141" i="1" l="1"/>
  <c r="L164" i="1"/>
  <c r="L166" i="1" s="1"/>
  <c r="E141" i="1"/>
  <c r="E164" i="1"/>
  <c r="E166" i="1" s="1"/>
  <c r="P139" i="1"/>
  <c r="P141" i="1"/>
  <c r="K172" i="1" s="1"/>
  <c r="P164" i="1"/>
  <c r="P166" i="1" s="1"/>
  <c r="P169" i="1" s="1"/>
  <c r="Q164" i="1"/>
  <c r="O166" i="1"/>
  <c r="Q166" i="1" s="1"/>
  <c r="O141" i="1"/>
  <c r="Q141" i="1" s="1"/>
  <c r="Q139" i="1"/>
  <c r="K175" i="1" l="1"/>
  <c r="L172" i="1"/>
  <c r="L175" i="1" s="1"/>
</calcChain>
</file>

<file path=xl/sharedStrings.xml><?xml version="1.0" encoding="utf-8"?>
<sst xmlns="http://schemas.openxmlformats.org/spreadsheetml/2006/main" count="4493" uniqueCount="631">
  <si>
    <t>ESTADO RESULTADO MENSUAL INVERSIONES SANTA FIDELMIRA LIMITADA 2025</t>
  </si>
  <si>
    <t>Resultado Operacional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</si>
  <si>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</si>
  <si>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</si>
  <si>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</si>
  <si>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</si>
  <si>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</si>
  <si>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</si>
  <si>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</si>
  <si>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</si>
  <si>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</si>
  <si>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</si>
  <si>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</si>
  <si>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</si>
  <si>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ACUM. 2025</t>
  </si>
  <si>
    <t>Ingreso de Explotacion</t>
  </si>
  <si>
    <t>$</t>
  </si>
  <si>
    <t xml:space="preserve"> </t>
  </si>
  <si>
    <t>4-1-01-003</t>
  </si>
  <si>
    <t>4-1-01-01-001  ARRIENDO FIJO</t>
  </si>
  <si>
    <t>4-1-01-004</t>
  </si>
  <si>
    <t>4-1-01-01-002  ARRIENDO VARIABLE</t>
  </si>
  <si>
    <t>4-1-01-009</t>
  </si>
  <si>
    <t>4-1-01-01-005  CONSUMOS DE AGUAS</t>
  </si>
  <si>
    <t>4-1-01-010</t>
  </si>
  <si>
    <t>4-1-01-01-006  CONSUMOS DE LUZ</t>
  </si>
  <si>
    <t>4-1-01-090</t>
  </si>
  <si>
    <t>4-1-01-01-007  CONSUMOS DE GAS</t>
  </si>
  <si>
    <t>4-1-01-007</t>
  </si>
  <si>
    <t>4-1-01-01-008  GASTOS COMUNES</t>
  </si>
  <si>
    <t>4-1-01-006</t>
  </si>
  <si>
    <t>4-1-01-01-013  VARIOS</t>
  </si>
  <si>
    <t>4-1-01-01-015  INGRESO VARIABLE FONDO PROMOCIÓN</t>
  </si>
  <si>
    <t>4-1-01-01-016  INGRESOS MULTAS INTERESES LOCATARIOS</t>
  </si>
  <si>
    <t>Total Resultado Operación</t>
  </si>
  <si>
    <t/>
  </si>
  <si>
    <t>Ingreso Fuera De Explotacion</t>
  </si>
  <si>
    <t>4-1-01-01-011  DEVOLUCION DE CONTRIBUCIONES</t>
  </si>
  <si>
    <t>4-2-01-002</t>
  </si>
  <si>
    <t>4-2-01-01-003  DIVIDENDOS RIACHUELO</t>
  </si>
  <si>
    <t>4-2-01-003</t>
  </si>
  <si>
    <t>4-2-01-01-004  INTERESES DAP</t>
  </si>
  <si>
    <t>4-2-01-030</t>
  </si>
  <si>
    <t>4-2-01-01-005  INTERESES DE PAGARE</t>
  </si>
  <si>
    <t>4-2-01-094</t>
  </si>
  <si>
    <t>4-2-01-01-006  INTERESES DAP US$ BCI</t>
  </si>
  <si>
    <t>4-2-01-091</t>
  </si>
  <si>
    <t>4-2-01-01-010  DIVIDENDOS ACCIONARIO BTG</t>
  </si>
  <si>
    <t>4-2-01-01-011  DIVIDENDO ASSET SANTANDER</t>
  </si>
  <si>
    <t>4-2-01-01-012  DIVIDENDO BCI ASSET</t>
  </si>
  <si>
    <t>4-2-01-01-013  DIVIDENDOS BESALCO</t>
  </si>
  <si>
    <t>4-2-01-02-008  ARQUITEC Y HABILITACION  LOCALES</t>
  </si>
  <si>
    <t>4-2-01-02-009  INGRESOS POR INTERESES MUTUOS EWA</t>
  </si>
  <si>
    <t>4-2-01-01-018  DIVIDENDOS ACCIONES EXALMAC1</t>
  </si>
  <si>
    <t>Total Ingreso Fuera De Explotacion</t>
  </si>
  <si>
    <t>Total Ingresos</t>
  </si>
  <si>
    <t>GASTOS DE ADMINISTRACIÓN Y VENTAS</t>
  </si>
  <si>
    <t>REMUNERACIONES</t>
  </si>
  <si>
    <t>5-1-01-10-003  REMUNERACIONES TENS Y RRHH</t>
  </si>
  <si>
    <t>5-2-01-01-001  REMUNERACIONES BRUTAS</t>
  </si>
  <si>
    <t>5-2-01-01-002  APORTES PATRONALES</t>
  </si>
  <si>
    <t>5-2-01-01-003  FINIQUITOS</t>
  </si>
  <si>
    <t>5-2-01-01-004  GRATIFICACIONES</t>
  </si>
  <si>
    <t>5-2-01-01-005  OTROS  IMPONIBLES</t>
  </si>
  <si>
    <t>5-2-01-01-006  OTROS NO IMPONIBLES</t>
  </si>
  <si>
    <t>3-1-10-102</t>
  </si>
  <si>
    <t>5-2-01-01-008  SEGURO COMPLEMENTARIO SALUD</t>
  </si>
  <si>
    <t>5-2-01-01-009  GASTOS VACACIONES</t>
  </si>
  <si>
    <t>SEGURIDAD</t>
  </si>
  <si>
    <t>3-1-10-106</t>
  </si>
  <si>
    <t>5-1-01-01-005  ARTICULOS DE SEGURIDAD</t>
  </si>
  <si>
    <t>5-1-01-01-001  SERVICIOS DE GUARDIAS</t>
  </si>
  <si>
    <t>ASEO</t>
  </si>
  <si>
    <t>3-1-10-101</t>
  </si>
  <si>
    <t>5-1-01-02-002  INSUMOS BANOS</t>
  </si>
  <si>
    <t>5-1-01-02-003  RETIRO BASURA O ESCOMBROS</t>
  </si>
  <si>
    <t>5-1-01-02-006  ARTIUCLOS DE ASEO</t>
  </si>
  <si>
    <t>5-1-01-05-005  INSUMOS DE ASEO</t>
  </si>
  <si>
    <t>5-2-01-02-004  SERVICIOS DE ASEO</t>
  </si>
  <si>
    <t>SERVICIOS BÁSICOS</t>
  </si>
  <si>
    <t>5-1-01-06-001  CONSUMO AGUA COMUN</t>
  </si>
  <si>
    <t>5-1-01-06-002  CONSUMO ENERGIA COMUN</t>
  </si>
  <si>
    <t>5-1-01-06-003  GASTO COMUN PROPIO</t>
  </si>
  <si>
    <t>5-1-01-05-006  COMPRAS PETROLEO GAS BENCINA</t>
  </si>
  <si>
    <t>5-1-01-07-001  TELEFONO</t>
  </si>
  <si>
    <t>3-1-10-107</t>
  </si>
  <si>
    <t>5-1-01-07-002  INTERNET</t>
  </si>
  <si>
    <t>MANTENCIÓN</t>
  </si>
  <si>
    <t>3-1-10-009</t>
  </si>
  <si>
    <t>5-1-01-03-003  CONTROL DE PLAGAS</t>
  </si>
  <si>
    <t>5-1-01-04-001  MANTENCION TRANSPORTE VERTICAL</t>
  </si>
  <si>
    <t>5-1-01-04-002  MANTENCION TRANSPORTE VERTICAL CORRECTIVA</t>
  </si>
  <si>
    <t>5-1-01-04-003  MANTENCION BOMBAS AP</t>
  </si>
  <si>
    <t>5-1-01-04-004  MANTENCION BOMBAS AP CORRECTIVA</t>
  </si>
  <si>
    <t>5-1-01-04-005  MANTENCION RED DE INCENDIO</t>
  </si>
  <si>
    <t>5-1-01-04-007  MANTENCION CCTV</t>
  </si>
  <si>
    <t>5-1-01-04-008  MANTENCION CLIMA</t>
  </si>
  <si>
    <t>5-1-01-04-010  MANTENCION ALCANTARILLADOS</t>
  </si>
  <si>
    <t>5-1-01-04-011  MANTENCION GENERAL</t>
  </si>
  <si>
    <t>5-1-01-04-013  MANTENCION ELECTRICA</t>
  </si>
  <si>
    <t>5-1-01-04-014  MANTENCION VEHICULOS</t>
  </si>
  <si>
    <t>5-1-01-04-015  MANTENCION GRUPOS ELECTROGENOS CORRECTIVA</t>
  </si>
  <si>
    <t>5-1-01-04-017  MANTENCION CLIMA CORRECTIVA</t>
  </si>
  <si>
    <t>5-1-01-04-018  MANTENCION ELECTRICA CORRECTIVA</t>
  </si>
  <si>
    <t>5-1-01-04-019  MANTENCION CAMARAS DESGRASADORAS</t>
  </si>
  <si>
    <t>5-1-01-04-020  MANTENCION PUERTAS AUTOMATICAS</t>
  </si>
  <si>
    <t>5-1-01-04-021  MANTENCION PUERTAS AUTOMATICAS CORRECTIVA</t>
  </si>
  <si>
    <t>5-1-01-01-002  MANTENCION EXTINTORES</t>
  </si>
  <si>
    <t>5-1-01-04-006  MANTENCION GRUPOS ELECTROGENOS</t>
  </si>
  <si>
    <t>5-1-01-04-009  MANTENCION ESTANQUES AGUA POTABLE</t>
  </si>
  <si>
    <t>5-1-01-04-016  MANTENCION CCTV CORRECTIVA</t>
  </si>
  <si>
    <t>5-1-01-03-001  SERVICIOS DE JARDINES Y PAISAJISMO</t>
  </si>
  <si>
    <t>5-1-01-03-002  INSUMOS JARDINES</t>
  </si>
  <si>
    <t xml:space="preserve">ASESORÍAS </t>
  </si>
  <si>
    <t>ASESORÍAS Y HONORARIOS</t>
  </si>
  <si>
    <t>3-1-40-099</t>
  </si>
  <si>
    <t>5-2-01-02-001  HONORARIOS CONTABLES</t>
  </si>
  <si>
    <t>3-1-40-101</t>
  </si>
  <si>
    <t>5-2-01-02-002  HONORARIOS SERVICIOS LEGALES</t>
  </si>
  <si>
    <t>3-1-40-103</t>
  </si>
  <si>
    <t>5-2-01-02-003  ASESORIAS Y CONSULTORIAS</t>
  </si>
  <si>
    <t>5-2-01-02-011  PAGOS LEGALES Y DEMANDAS</t>
  </si>
  <si>
    <t>5-2-01-03-002  GASTOS NOTARIALES</t>
  </si>
  <si>
    <t>5-1-01-06-004  SERVICIOS INFORMATICOS DE SISTEMAS</t>
  </si>
  <si>
    <t>CONTRIBUCI</t>
  </si>
  <si>
    <t>CONTRIBUCIONES</t>
  </si>
  <si>
    <t>3-1-40-102</t>
  </si>
  <si>
    <t>5-2-01-07-001  CONTRIBUCIONES</t>
  </si>
  <si>
    <t>PATENTES C</t>
  </si>
  <si>
    <t>PATENTES COMERCIALES</t>
  </si>
  <si>
    <t>5-2-01-03-003  PATENTES</t>
  </si>
  <si>
    <t>5-2-01-07-002  PATENTES</t>
  </si>
  <si>
    <t>MARKETING</t>
  </si>
  <si>
    <t>5-2-01-02-007  SERVICIOS DE PUBLICIDAD Y MARKETING</t>
  </si>
  <si>
    <t>5-2-01-02-010  HONORARIOS DE COMERCIALIZACION</t>
  </si>
  <si>
    <t>3-1-20-100</t>
  </si>
  <si>
    <t>5-1-03-01-001  PROMOCIONES MARKETING</t>
  </si>
  <si>
    <t>5-1-03-01-004  PROMOCIONES VARIAS</t>
  </si>
  <si>
    <t>SEGUROS</t>
  </si>
  <si>
    <t>3-1-40-100</t>
  </si>
  <si>
    <t>5-1-01-08-001  SEGUROS BIENES FISICOS Y RESPONSABILIDAD CIVIL</t>
  </si>
  <si>
    <t>INCOBRABLE</t>
  </si>
  <si>
    <t>INCOBRABLES</t>
  </si>
  <si>
    <t>3-1-40-104</t>
  </si>
  <si>
    <t>5-3-01-02-014  DEUDORES INCOBRABLES</t>
  </si>
  <si>
    <t>5-3-01-02-021  CASTIGO CLIENTE NO DOCUMENTADO</t>
  </si>
  <si>
    <t>5-3-01-02-022  CASTIGO CLIENTE DOCUMENTADO</t>
  </si>
  <si>
    <t>OTROS GAST</t>
  </si>
  <si>
    <t>OTROS GASTOS DE ADMINISTRACIÓN Y VENTAS</t>
  </si>
  <si>
    <t>3-1-10-104</t>
  </si>
  <si>
    <t>5-3-01-02-003  OTROS EGRESOS</t>
  </si>
  <si>
    <t>3-1-10-109</t>
  </si>
  <si>
    <t>5-3-01-02-006  GANANCIA (PERDIDA) SWAP</t>
  </si>
  <si>
    <t>5-2-01-06-001  ARRIENDOS</t>
  </si>
  <si>
    <t>5-1-01-04-022  CERTIFICACIÓN TRANSPORTE VERTICAL</t>
  </si>
  <si>
    <t>5-2-01-05-001  GASTOS DE REPRESENTACION</t>
  </si>
  <si>
    <t>5-2-01-03-006  GASTOS GENERALES</t>
  </si>
  <si>
    <t>5-3-01-02-013  GASTOS VIAJES EXTRANJERO</t>
  </si>
  <si>
    <t>5-1-01-07-003  CAJA CHICA</t>
  </si>
  <si>
    <t>5-1-01-07-005  ARTICULOS DE OFICINA</t>
  </si>
  <si>
    <t>5-1-01-07-006  GASTO FLETES</t>
  </si>
  <si>
    <t>5-1-03-01-002  GASTOS VARIOS MALL</t>
  </si>
  <si>
    <t>5-1-03-01-005  GASTOS DERECHO AUTOR</t>
  </si>
  <si>
    <t>5-1-01-11-001  HABILITACIÓN LOCALES OUTLET FLORIDA</t>
  </si>
  <si>
    <t>5-1-01-11-002  HABILITACIÓN LOCALES STRIP FLORIDA</t>
  </si>
  <si>
    <t>5-3-01-04-006  DONACION CUERPO DE BOMBEROS LINARES</t>
  </si>
  <si>
    <t>5-1-01-11-030  HABILITACIONES GENERALES</t>
  </si>
  <si>
    <t>3-1-40-174</t>
  </si>
  <si>
    <t>5-3-01-02-020  COSTO MANDATO INVERSIONES NUEVA SANTA FIDELMIRA LIMITADA</t>
  </si>
  <si>
    <t>5-2-01-02-005  SERVICIOS DE ARQUITECTURA</t>
  </si>
  <si>
    <t>Total Gast</t>
  </si>
  <si>
    <t>Total Gastos de administración y ventas</t>
  </si>
  <si>
    <t>Total Oper</t>
  </si>
  <si>
    <t>Total Operacional</t>
  </si>
  <si>
    <t>EBITDA</t>
  </si>
  <si>
    <t>OTROS GASTOS FINANCIEROS</t>
  </si>
  <si>
    <t>5-3-01-01-001  INTERESES LEASING</t>
  </si>
  <si>
    <t>5-3-01-01-002  GASTOS BANCARIOS</t>
  </si>
  <si>
    <t>3-1-40-109</t>
  </si>
  <si>
    <t>5-3-01-01-003  MULTAS INTERESES Y REAJUSTES</t>
  </si>
  <si>
    <t>5-3-01-01-004  GASTOS FINANCIEROS</t>
  </si>
  <si>
    <t>3-1-40-110</t>
  </si>
  <si>
    <t>5-3-01-01-005  GASTOS E INTERESES COMERCIALES</t>
  </si>
  <si>
    <t>3-1-40-114</t>
  </si>
  <si>
    <t>5-3-01-02-004  GASTOS FUERA DEL GIRO</t>
  </si>
  <si>
    <t>3-1-40-118</t>
  </si>
  <si>
    <t>5-3-01-02-007  MAYOR / MENOR VALOR DE INVERSIONES</t>
  </si>
  <si>
    <t>3-1-40-170</t>
  </si>
  <si>
    <t>5-3-01-02-009  COSTO VENTA ACTIVO FIJO</t>
  </si>
  <si>
    <t>3-1-40-171</t>
  </si>
  <si>
    <t>5-3-01-02-012  OTROS GASTOS DEL EXTRANJERO</t>
  </si>
  <si>
    <t>3-1-40-179</t>
  </si>
  <si>
    <t>5-3-01-04-003  IMPUESTOS VARIOS</t>
  </si>
  <si>
    <t>Pago obligacion Leasing</t>
  </si>
  <si>
    <t>Total Resu</t>
  </si>
  <si>
    <t>Total Resultado No Operación</t>
  </si>
  <si>
    <t xml:space="preserve">Resultado </t>
  </si>
  <si>
    <t>Resultado Antes de Impuestos</t>
  </si>
  <si>
    <t>3-1-40-116</t>
  </si>
  <si>
    <t>Resultado Del Periodo</t>
  </si>
  <si>
    <t>ER.</t>
  </si>
  <si>
    <t>RESUMEN GESTIÓN</t>
  </si>
  <si>
    <t xml:space="preserve">EBITDA </t>
  </si>
  <si>
    <t>GASTOS FINANCIEROS</t>
  </si>
  <si>
    <t>PAGOS CAPITAL</t>
  </si>
  <si>
    <t>Totales</t>
  </si>
  <si>
    <t>REDUCCION DEUDA</t>
  </si>
  <si>
    <t>VACANCIA</t>
  </si>
  <si>
    <t>AUMENTO RENTAS</t>
  </si>
  <si>
    <t>N°</t>
  </si>
  <si>
    <t xml:space="preserve">TIPO OPERACIÓN </t>
  </si>
  <si>
    <t xml:space="preserve">DESCRIPCION </t>
  </si>
  <si>
    <t>COMPTE</t>
  </si>
  <si>
    <t xml:space="preserve">FECHA </t>
  </si>
  <si>
    <t>MONTO</t>
  </si>
  <si>
    <t>FACTURA</t>
  </si>
  <si>
    <t>MES</t>
  </si>
  <si>
    <t>2-1-01-02-005  OBLIG. LEASING 11 ORIENTE C/PLAZO</t>
  </si>
  <si>
    <t>F2/7650605 BANCO ITAU CORPBANCA</t>
  </si>
  <si>
    <t>ENERO</t>
  </si>
  <si>
    <t>F4/3535149 BANCO ITAU CORPBANCA</t>
  </si>
  <si>
    <t> </t>
  </si>
  <si>
    <t>2-1-01-02-006  OBLIG. LEASING MAIPU 556 C/PLAZO</t>
  </si>
  <si>
    <t>F4/3535150 BANCO ITAU CORPBANCA</t>
  </si>
  <si>
    <t>2-1-01-02-007  OBLIG. LEASING BRASIL 648 C/PLAZO</t>
  </si>
  <si>
    <t>F2/7650606 BANCO ITAU CORPBANCA</t>
  </si>
  <si>
    <t>F4/3535151 BANCO ITAU CORPBANCA</t>
  </si>
  <si>
    <t>2-1-01-02-008  OBLIG. LEASING VIAL 224 C/PLAZO</t>
  </si>
  <si>
    <t>F2/7652454 BANCO ITAU CORPBANCA</t>
  </si>
  <si>
    <t>F4/3538507 BANCO ITAU CORPBANCA</t>
  </si>
  <si>
    <t>5 Y 6</t>
  </si>
  <si>
    <t>2010573 y 2011190</t>
  </si>
  <si>
    <t>2-1-01-02-009  OBLIG. LEASING TALCA COLIN C/PLAZO</t>
  </si>
  <si>
    <t>F2/7653435 BANCO ITAU CORPBANCA</t>
  </si>
  <si>
    <t>F2/7653436 BANCO ITAU CORPBANCA</t>
  </si>
  <si>
    <t>2-1-01-02-013  OBLIG. LEASING OUTLET C/P</t>
  </si>
  <si>
    <t>F2/7653437 BANCO ITAU CORPBANCA</t>
  </si>
  <si>
    <t>2-1-01-02-001  OBLIG. LEASING 1 SUR 1990 C/PLAZO</t>
  </si>
  <si>
    <t>F2/425601 TANNER LEASING S.A.</t>
  </si>
  <si>
    <t>2-1-01-02-004  OBLIG. LEASING C. SATELITE C/PLAZO</t>
  </si>
  <si>
    <t>F2/425602 TANNER LEASING S.A.</t>
  </si>
  <si>
    <t>2-1-01-02-003  OBLIG. LEASING COLIN 0240 TALCA</t>
  </si>
  <si>
    <t>F2/425603 TANNER LEASING S.A.</t>
  </si>
  <si>
    <t>2-1-01-02-002  OBLIG. LEASING SAN JAVIER C/PLAZO</t>
  </si>
  <si>
    <t>F2/425604 TANNER LEASING S.A.</t>
  </si>
  <si>
    <t>12 13 14</t>
  </si>
  <si>
    <t>420012889215 / 420012889347 / 420012889428</t>
  </si>
  <si>
    <t>2-1-01-02-010  OBLIG. HIPOTECARIO C/PLAZO</t>
  </si>
  <si>
    <t>REGISTRO PAGO HIPOTECARIO 2026</t>
  </si>
  <si>
    <t>2-1-01-02-012  OBLIG.LEASING CAUQUENES C/P</t>
  </si>
  <si>
    <t>F2/29231976 BANCO DE CREDITO E INVERSIONES</t>
  </si>
  <si>
    <t>F4/3360488 BANCO DE CREDITO E INVERSIONES</t>
  </si>
  <si>
    <t>2-1-01-02-011  OBLIG.LEASING VALPO  C/P</t>
  </si>
  <si>
    <t>F2/29231975 BANCO DE CREDITO E INVERSIONES</t>
  </si>
  <si>
    <t>F4/3360487 BANCO DE CREDITO E INVERSIONES</t>
  </si>
  <si>
    <t>17      Y      19</t>
  </si>
  <si>
    <t>2-1-01-03-002  OBLIG LEASING VEHICULOS  CP 2</t>
  </si>
  <si>
    <t>F2/29330094 BANCO DE CREDITO E INVERSIONES</t>
  </si>
  <si>
    <t>F2/167971 FORUM SERVICIOS FINANCIEROS S.A.</t>
  </si>
  <si>
    <t>2-1-01-02-014  OBLIG HIPOTECARIO LOS MORRO CP</t>
  </si>
  <si>
    <t>PAGO CREDITO HIPOTECARIO LOS MORROS 25</t>
  </si>
  <si>
    <t xml:space="preserve"> ESTADO RESULTADO MENSUAL INVERSIONES SANTA FIDELMIRA LIMITADA 2026 </t>
  </si>
  <si>
    <t xml:space="preserve"> Resultado Operacional </t>
  </si>
  <si>
    <t xml:space="preserve"> ENERO  </t>
  </si>
  <si>
    <t xml:space="preserve"> FEBRERO </t>
  </si>
  <si>
    <t xml:space="preserve"> MARZO </t>
  </si>
  <si>
    <t xml:space="preserve"> ABRIL </t>
  </si>
  <si>
    <t xml:space="preserve"> MAYO </t>
  </si>
  <si>
    <t xml:space="preserve"> JUNIO </t>
  </si>
  <si>
    <t xml:space="preserve"> JULIO </t>
  </si>
  <si>
    <t xml:space="preserve"> AGOSTO </t>
  </si>
  <si>
    <t xml:space="preserve"> SEPTIEMBRE </t>
  </si>
  <si>
    <t xml:space="preserve"> OCTUBRE </t>
  </si>
  <si>
    <t xml:space="preserve"> NOVIEMBRE </t>
  </si>
  <si>
    <t xml:space="preserve"> DICIEMBRE </t>
  </si>
  <si>
    <t xml:space="preserve"> TOTAL ACUM. 2026 </t>
  </si>
  <si>
    <t xml:space="preserve"> Ingreso de Explotacion </t>
  </si>
  <si>
    <t xml:space="preserve"> $ </t>
  </si>
  <si>
    <t xml:space="preserve">   </t>
  </si>
  <si>
    <t xml:space="preserve"> 4-1-01-003 </t>
  </si>
  <si>
    <t xml:space="preserve"> 4-1-01-01-001  ARRIENDO FIJO </t>
  </si>
  <si>
    <t xml:space="preserve"> $          787.070.060</t>
  </si>
  <si>
    <t xml:space="preserve"> $                                -</t>
  </si>
  <si>
    <t xml:space="preserve"> $                                 -</t>
  </si>
  <si>
    <t xml:space="preserve"> $                                        -</t>
  </si>
  <si>
    <t xml:space="preserve"> $                 787.070.060</t>
  </si>
  <si>
    <t xml:space="preserve"> $                             -</t>
  </si>
  <si>
    <t xml:space="preserve"> 4-1-01-004 </t>
  </si>
  <si>
    <t xml:space="preserve"> 4-1-01-01-002  ARRIENDO VARIABLE </t>
  </si>
  <si>
    <t xml:space="preserve"> $          110.194.305</t>
  </si>
  <si>
    <t xml:space="preserve"> $                 110.194.305</t>
  </si>
  <si>
    <t xml:space="preserve"> 4-1-01-009 </t>
  </si>
  <si>
    <t xml:space="preserve"> 4-1-01-01-005  CONSUMOS DE AGUAS </t>
  </si>
  <si>
    <t xml:space="preserve"> $            10.831.092</t>
  </si>
  <si>
    <t xml:space="preserve"> $                   10.831.092</t>
  </si>
  <si>
    <t xml:space="preserve"> 4-1-01-010 </t>
  </si>
  <si>
    <t xml:space="preserve"> 4-1-01-01-006  CONSUMOS DE LUZ </t>
  </si>
  <si>
    <t xml:space="preserve"> $          132.389.297</t>
  </si>
  <si>
    <t xml:space="preserve"> $                 132.389.297</t>
  </si>
  <si>
    <t xml:space="preserve"> 4-1-01-090 </t>
  </si>
  <si>
    <t xml:space="preserve"> 4-1-01-01-007  CONSUMOS DE GAS </t>
  </si>
  <si>
    <t xml:space="preserve"> $              2.069.239</t>
  </si>
  <si>
    <t xml:space="preserve"> $                     2.069.239</t>
  </si>
  <si>
    <t xml:space="preserve"> 4-1-01-007 </t>
  </si>
  <si>
    <t xml:space="preserve"> 4-1-01-01-008  GASTOS COMUNES </t>
  </si>
  <si>
    <t xml:space="preserve"> $          119.480.828</t>
  </si>
  <si>
    <t xml:space="preserve"> $                 119.480.828</t>
  </si>
  <si>
    <t xml:space="preserve"> 4-1-01-006 </t>
  </si>
  <si>
    <t xml:space="preserve"> 4-1-01-01-013  VARIOS </t>
  </si>
  <si>
    <t xml:space="preserve"> $                    50.716</t>
  </si>
  <si>
    <t xml:space="preserve"> $                           50.716</t>
  </si>
  <si>
    <t xml:space="preserve"> 4-1-01-01-015  INGRESO VARIABLE FONDO PROMOCIÓN </t>
  </si>
  <si>
    <t xml:space="preserve"> $              1.966.459</t>
  </si>
  <si>
    <t xml:space="preserve"> $                     1.966.459</t>
  </si>
  <si>
    <t xml:space="preserve"> 4-1-01-01-016  INGRESOS MULTAS INTERESES LOCATARIOS </t>
  </si>
  <si>
    <t xml:space="preserve"> $                                       -</t>
  </si>
  <si>
    <t xml:space="preserve"> Total Resultado Operación </t>
  </si>
  <si>
    <t xml:space="preserve"> $      1.164.051.996</t>
  </si>
  <si>
    <t xml:space="preserve"> $             1.164.051.996</t>
  </si>
  <si>
    <t xml:space="preserve">  </t>
  </si>
  <si>
    <t xml:space="preserve"> Ingreso Fuera De Explotacion </t>
  </si>
  <si>
    <t xml:space="preserve"> 4-1-01-01-011  DEVOLUCION DE CONTRIBUCIONES </t>
  </si>
  <si>
    <t xml:space="preserve"> 4-2-01-002 </t>
  </si>
  <si>
    <t xml:space="preserve"> 4-2-01-01-003  DIVIDENDOS RIACHUELO </t>
  </si>
  <si>
    <t xml:space="preserve"> 4-2-01-003 </t>
  </si>
  <si>
    <t xml:space="preserve"> 4-2-01-01-004  INTERESES DAP </t>
  </si>
  <si>
    <t xml:space="preserve"> 4-2-01-030 </t>
  </si>
  <si>
    <t xml:space="preserve"> 4-2-01-01-005  INTERESES DE PAGARE </t>
  </si>
  <si>
    <t xml:space="preserve"> $                  826.557</t>
  </si>
  <si>
    <t xml:space="preserve"> $                         826.557</t>
  </si>
  <si>
    <t xml:space="preserve"> 4-2-01-094 </t>
  </si>
  <si>
    <t xml:space="preserve"> 4-2-01-01-006  INTERESES DAP US$ BCI </t>
  </si>
  <si>
    <t xml:space="preserve"> $              1.059.714</t>
  </si>
  <si>
    <t xml:space="preserve"> $                     1.059.714</t>
  </si>
  <si>
    <t xml:space="preserve"> 4-2-01-091 </t>
  </si>
  <si>
    <t xml:space="preserve"> 4-2-01-01-010  DIVIDENDOS ACCIONARIO BTG </t>
  </si>
  <si>
    <t xml:space="preserve"> 4-2-01-01-011  DIVIDENDO ASSET SANTANDER </t>
  </si>
  <si>
    <t xml:space="preserve"> 4-2-01-01-012  DIVIDENDO BCI ASSET </t>
  </si>
  <si>
    <t xml:space="preserve"> 4-2-01-01-013  DIVIDENDOS BESALCO </t>
  </si>
  <si>
    <t xml:space="preserve"> 4-2-01-02-008  ARQUITEC Y HABILITACION  LOCALES </t>
  </si>
  <si>
    <t xml:space="preserve"> $              1.586.084</t>
  </si>
  <si>
    <t xml:space="preserve"> $                     1.586.084</t>
  </si>
  <si>
    <t xml:space="preserve"> 4-2-01-02-009  INGRESOS POR INTERESES MUTUOS EWA </t>
  </si>
  <si>
    <t xml:space="preserve"> $                  855.413</t>
  </si>
  <si>
    <t xml:space="preserve"> $                         855.413</t>
  </si>
  <si>
    <t xml:space="preserve"> 4-2-01-01-018  DIVIDENDOS ACCIONES EXALMAC1 </t>
  </si>
  <si>
    <t xml:space="preserve"> Total Ingreso Fuera De Explotacion </t>
  </si>
  <si>
    <t xml:space="preserve"> $              4.327.768</t>
  </si>
  <si>
    <t xml:space="preserve"> $                     4.327.768</t>
  </si>
  <si>
    <t xml:space="preserve"> Total Ingresos </t>
  </si>
  <si>
    <t xml:space="preserve"> $      1.168.379.764</t>
  </si>
  <si>
    <t xml:space="preserve"> $             1.168.379.764</t>
  </si>
  <si>
    <t xml:space="preserve"> GASTOS DE ADMINISTRACIÓN Y VENTAS </t>
  </si>
  <si>
    <t xml:space="preserve"> REMUNERACIONES </t>
  </si>
  <si>
    <t xml:space="preserve"> $        -162.110.940</t>
  </si>
  <si>
    <t xml:space="preserve"> $               -162.110.940</t>
  </si>
  <si>
    <t xml:space="preserve"> 5-1-01-10-003  REMUNERACIONES TENS Y RRHH </t>
  </si>
  <si>
    <t xml:space="preserve"> $             -4.857.111</t>
  </si>
  <si>
    <t xml:space="preserve"> $                    -4.857.111</t>
  </si>
  <si>
    <t xml:space="preserve"> 5-2-01-01-001  REMUNERACIONES BRUTAS </t>
  </si>
  <si>
    <t xml:space="preserve"> $        -143.550.573</t>
  </si>
  <si>
    <t xml:space="preserve"> $               -143.550.573</t>
  </si>
  <si>
    <t xml:space="preserve"> 5-2-01-01-002  APORTES PATRONALES </t>
  </si>
  <si>
    <t xml:space="preserve"> $             -2.506.380</t>
  </si>
  <si>
    <t xml:space="preserve"> $                    -2.506.380</t>
  </si>
  <si>
    <t xml:space="preserve"> 5-2-01-01-003  FINIQUITOS </t>
  </si>
  <si>
    <t xml:space="preserve"> 5-2-01-01-004  GRATIFICACIONES </t>
  </si>
  <si>
    <t xml:space="preserve"> $             -4.559.165</t>
  </si>
  <si>
    <t xml:space="preserve"> $                    -4.559.165</t>
  </si>
  <si>
    <t xml:space="preserve"> 5-2-01-01-005  OTROS  IMPONIBLES </t>
  </si>
  <si>
    <t xml:space="preserve"> 5-2-01-01-006  OTROS NO IMPONIBLES </t>
  </si>
  <si>
    <t xml:space="preserve"> $             -5.429.932</t>
  </si>
  <si>
    <t xml:space="preserve"> $                    -5.429.932</t>
  </si>
  <si>
    <t xml:space="preserve"> 3-1-10-102 </t>
  </si>
  <si>
    <t xml:space="preserve"> 5-2-01-01-008  SEGURO COMPLEMENTARIO SALUD </t>
  </si>
  <si>
    <t xml:space="preserve"> $             -1.207.779</t>
  </si>
  <si>
    <t xml:space="preserve"> $                    -1.207.779</t>
  </si>
  <si>
    <t xml:space="preserve"> 5-2-01-01-009  GASTOS VACACIONES </t>
  </si>
  <si>
    <t xml:space="preserve"> $             -1.503.949</t>
  </si>
  <si>
    <t xml:space="preserve"> $                    -1.503.949</t>
  </si>
  <si>
    <t xml:space="preserve"> SEGURIDAD </t>
  </si>
  <si>
    <t xml:space="preserve"> $             -7.606.214</t>
  </si>
  <si>
    <t xml:space="preserve"> $                    -7.606.214</t>
  </si>
  <si>
    <t xml:space="preserve"> 3-1-10-106 </t>
  </si>
  <si>
    <t xml:space="preserve"> 5-1-01-01-005  ARTICULOS DE SEGURIDAD </t>
  </si>
  <si>
    <t xml:space="preserve"> $                -177.086</t>
  </si>
  <si>
    <t xml:space="preserve"> $                       -177.086</t>
  </si>
  <si>
    <t xml:space="preserve"> 5-1-01-01-001  SERVICIOS DE GUARDIAS </t>
  </si>
  <si>
    <t xml:space="preserve"> $             -7.429.128</t>
  </si>
  <si>
    <t xml:space="preserve"> $                    -7.429.128</t>
  </si>
  <si>
    <t xml:space="preserve"> ASEO </t>
  </si>
  <si>
    <t xml:space="preserve"> $          -22.767.275</t>
  </si>
  <si>
    <t xml:space="preserve"> $                 -22.767.275</t>
  </si>
  <si>
    <t xml:space="preserve"> 3-1-10-101 </t>
  </si>
  <si>
    <t xml:space="preserve"> 5-1-01-02-002  INSUMOS BANOS </t>
  </si>
  <si>
    <t xml:space="preserve"> $             -1.006.590</t>
  </si>
  <si>
    <t xml:space="preserve"> $                    -1.006.590</t>
  </si>
  <si>
    <t xml:space="preserve"> 5-1-01-02-003  RETIRO BASURA O ESCOMBROS </t>
  </si>
  <si>
    <t xml:space="preserve"> $             -1.095.916</t>
  </si>
  <si>
    <t xml:space="preserve"> $                    -1.095.916</t>
  </si>
  <si>
    <t xml:space="preserve"> 5-1-01-02-006  ARTIUCLOS DE ASEO </t>
  </si>
  <si>
    <t xml:space="preserve"> 5-1-01-05-005  INSUMOS DE ASEO </t>
  </si>
  <si>
    <t xml:space="preserve"> 5-2-01-02-004  SERVICIOS DE ASEO </t>
  </si>
  <si>
    <t xml:space="preserve"> $          -20.664.769</t>
  </si>
  <si>
    <t xml:space="preserve"> $                 -20.664.769</t>
  </si>
  <si>
    <t xml:space="preserve"> SERVICIOS BÁSICOS </t>
  </si>
  <si>
    <t xml:space="preserve"> $        -182.190.147</t>
  </si>
  <si>
    <t xml:space="preserve"> $               -182.190.147</t>
  </si>
  <si>
    <t xml:space="preserve"> 5-1-01-06-001  CONSUMO AGUA COMUN </t>
  </si>
  <si>
    <t xml:space="preserve"> $          -10.345.021</t>
  </si>
  <si>
    <t xml:space="preserve"> $                 -10.345.021</t>
  </si>
  <si>
    <t xml:space="preserve"> 5-1-01-06-002  CONSUMO ENERGIA COMUN </t>
  </si>
  <si>
    <t xml:space="preserve"> $        -167.318.237</t>
  </si>
  <si>
    <t xml:space="preserve"> $               -167.318.237</t>
  </si>
  <si>
    <t xml:space="preserve"> 5-1-01-06-003  GASTO COMUN PROPIO </t>
  </si>
  <si>
    <t xml:space="preserve"> $                -327.863</t>
  </si>
  <si>
    <t xml:space="preserve"> $                       -327.863</t>
  </si>
  <si>
    <t xml:space="preserve"> 5-1-01-05-006  COMPRAS PETROLEO GAS BENCINA </t>
  </si>
  <si>
    <t xml:space="preserve"> $             -1.918.959</t>
  </si>
  <si>
    <t xml:space="preserve"> $                    -1.918.959</t>
  </si>
  <si>
    <t xml:space="preserve"> 5-1-01-07-001  TELEFONO </t>
  </si>
  <si>
    <t xml:space="preserve"> $                -275.398</t>
  </si>
  <si>
    <t xml:space="preserve"> $                       -275.398</t>
  </si>
  <si>
    <t xml:space="preserve"> 3-1-10-107 </t>
  </si>
  <si>
    <t xml:space="preserve"> 5-1-01-07-002  INTERNET </t>
  </si>
  <si>
    <t xml:space="preserve"> $             -2.004.669</t>
  </si>
  <si>
    <t xml:space="preserve"> $                    -2.004.669</t>
  </si>
  <si>
    <t xml:space="preserve"> MANTENCIÓN </t>
  </si>
  <si>
    <t xml:space="preserve"> $          -27.697.785</t>
  </si>
  <si>
    <t xml:space="preserve"> $                 -27.697.785</t>
  </si>
  <si>
    <t xml:space="preserve"> 3-1-10-009 </t>
  </si>
  <si>
    <t xml:space="preserve"> 5-1-01-03-003  CONTROL DE PLAGAS </t>
  </si>
  <si>
    <t xml:space="preserve"> $             -1.545.287</t>
  </si>
  <si>
    <t xml:space="preserve"> $                    -1.545.287</t>
  </si>
  <si>
    <t xml:space="preserve"> 5-1-01-04-001  MANTENCION TRANSPORTE VERTICAL </t>
  </si>
  <si>
    <t xml:space="preserve"> $             -5.189.925</t>
  </si>
  <si>
    <t xml:space="preserve"> $                    -5.189.925</t>
  </si>
  <si>
    <t xml:space="preserve"> 5-1-01-04-002  MANTENCION TRANSPORTE VERTICAL CORRECTIVA </t>
  </si>
  <si>
    <t xml:space="preserve"> 5-1-01-04-003  MANTENCION BOMBAS AP </t>
  </si>
  <si>
    <t xml:space="preserve"> $                   -59.574</t>
  </si>
  <si>
    <t xml:space="preserve"> $                          -59.574</t>
  </si>
  <si>
    <t xml:space="preserve"> 5-1-01-04-004  MANTENCION BOMBAS AP CORRECTIVA </t>
  </si>
  <si>
    <t xml:space="preserve"> $                -505.183</t>
  </si>
  <si>
    <t xml:space="preserve"> $                       -505.183</t>
  </si>
  <si>
    <t xml:space="preserve"> 5-1-01-04-005  MANTENCION RED DE INCENDIO </t>
  </si>
  <si>
    <t xml:space="preserve"> 5-1-01-04-007  MANTENCION CCTV </t>
  </si>
  <si>
    <t xml:space="preserve"> $             -2.970.848</t>
  </si>
  <si>
    <t xml:space="preserve"> $                    -2.970.848</t>
  </si>
  <si>
    <t xml:space="preserve"> 5-1-01-04-008  MANTENCION CLIMA </t>
  </si>
  <si>
    <t xml:space="preserve"> 5-1-01-04-010  MANTENCION ALCANTARILLADOS </t>
  </si>
  <si>
    <t xml:space="preserve"> $             -2.076.599</t>
  </si>
  <si>
    <t xml:space="preserve"> $                    -2.076.599</t>
  </si>
  <si>
    <t xml:space="preserve"> 5-1-01-04-011  MANTENCION GENERAL </t>
  </si>
  <si>
    <t xml:space="preserve"> $          -11.920.871</t>
  </si>
  <si>
    <t xml:space="preserve"> $                 -11.920.871</t>
  </si>
  <si>
    <t xml:space="preserve"> 5-1-01-04-013  MANTENCION ELECTRICA </t>
  </si>
  <si>
    <t xml:space="preserve"> 5-1-01-04-014  MANTENCION VEHICULOS </t>
  </si>
  <si>
    <t xml:space="preserve"> 5-1-01-04-015  MANTENCION GRUPOS ELECTROGENOS CORRECTIVA </t>
  </si>
  <si>
    <t xml:space="preserve"> 5-1-01-04-017  MANTENCION CLIMA CORRECTIVA </t>
  </si>
  <si>
    <t xml:space="preserve"> 5-1-01-04-018  MANTENCION ELECTRICA CORRECTIVA </t>
  </si>
  <si>
    <t xml:space="preserve"> $                -241.338</t>
  </si>
  <si>
    <t xml:space="preserve"> $                       -241.338</t>
  </si>
  <si>
    <t xml:space="preserve"> 5-1-01-04-019  MANTENCION CAMARAS DESGRASADORAS </t>
  </si>
  <si>
    <t xml:space="preserve"> $                -697.730</t>
  </si>
  <si>
    <t xml:space="preserve"> $                       -697.730</t>
  </si>
  <si>
    <t xml:space="preserve"> 5-1-01-04-020  MANTENCION PUERTAS AUTOMATICAS </t>
  </si>
  <si>
    <t xml:space="preserve"> 5-1-01-04-021  MANTENCION PUERTAS AUTOMATICAS CORRECTIVA </t>
  </si>
  <si>
    <t xml:space="preserve"> 5-1-01-01-002  MANTENCION EXTINTORES </t>
  </si>
  <si>
    <t xml:space="preserve"> 5-1-01-04-006  MANTENCION GRUPOS ELECTROGENOS </t>
  </si>
  <si>
    <t xml:space="preserve"> 5-1-01-04-009  MANTENCION ESTANQUES AGUA POTABLE </t>
  </si>
  <si>
    <t xml:space="preserve"> $                -600.000</t>
  </si>
  <si>
    <t xml:space="preserve"> $                       -600.000</t>
  </si>
  <si>
    <t xml:space="preserve"> 5-1-01-04-016  MANTENCION CCTV CORRECTIVA </t>
  </si>
  <si>
    <t xml:space="preserve"> 5-1-01-03-001  SERVICIOS DE JARDINES Y PAISAJISMO </t>
  </si>
  <si>
    <t xml:space="preserve"> $             -1.890.430</t>
  </si>
  <si>
    <t xml:space="preserve"> $                    -1.890.430</t>
  </si>
  <si>
    <t xml:space="preserve"> 5-1-01-03-002  INSUMOS JARDINES </t>
  </si>
  <si>
    <t xml:space="preserve"> ASESORÍAS  </t>
  </si>
  <si>
    <t xml:space="preserve"> ASESORÍAS Y HONORARIOS </t>
  </si>
  <si>
    <t xml:space="preserve"> $          -29.808.296</t>
  </si>
  <si>
    <t xml:space="preserve"> $                 -29.808.296</t>
  </si>
  <si>
    <t xml:space="preserve"> 3-1-40-099 </t>
  </si>
  <si>
    <t xml:space="preserve"> 5-2-01-02-001  HONORARIOS CONTABLES </t>
  </si>
  <si>
    <t xml:space="preserve"> $                -979.351</t>
  </si>
  <si>
    <t xml:space="preserve"> $                       -979.351</t>
  </si>
  <si>
    <t xml:space="preserve"> 3-1-40-101 </t>
  </si>
  <si>
    <t xml:space="preserve"> 5-2-01-02-002  HONORARIOS SERVICIOS LEGALES </t>
  </si>
  <si>
    <t xml:space="preserve"> $                -358.582</t>
  </si>
  <si>
    <t xml:space="preserve"> $                       -358.582</t>
  </si>
  <si>
    <t xml:space="preserve"> 3-1-40-103 </t>
  </si>
  <si>
    <t xml:space="preserve"> 5-2-01-02-003  ASESORIAS Y CONSULTORIAS </t>
  </si>
  <si>
    <t xml:space="preserve"> $          -25.274.774</t>
  </si>
  <si>
    <t xml:space="preserve"> $                 -25.274.774</t>
  </si>
  <si>
    <t xml:space="preserve"> 5-2-01-02-011  PAGOS LEGALES Y DEMANDAS </t>
  </si>
  <si>
    <t xml:space="preserve"> $                -260.000</t>
  </si>
  <si>
    <t xml:space="preserve"> $                       -260.000</t>
  </si>
  <si>
    <t xml:space="preserve"> 5-2-01-03-002  GASTOS NOTARIALES </t>
  </si>
  <si>
    <t xml:space="preserve"> $                -125.000</t>
  </si>
  <si>
    <t xml:space="preserve"> $                       -125.000</t>
  </si>
  <si>
    <t xml:space="preserve"> 5-1-01-06-004  SERVICIOS INFORMATICOS DE SISTEMAS </t>
  </si>
  <si>
    <t xml:space="preserve"> $             -2.810.589</t>
  </si>
  <si>
    <t xml:space="preserve"> $                    -2.810.589</t>
  </si>
  <si>
    <t xml:space="preserve"> CONTRIBUCI </t>
  </si>
  <si>
    <t xml:space="preserve"> CONTRIBUCIONES </t>
  </si>
  <si>
    <t xml:space="preserve"> 3-1-40-102 </t>
  </si>
  <si>
    <t xml:space="preserve"> 5-2-01-07-001  CONTRIBUCIONES </t>
  </si>
  <si>
    <t xml:space="preserve"> PATENTES C </t>
  </si>
  <si>
    <t xml:space="preserve"> PATENTES COMERCIALES </t>
  </si>
  <si>
    <t xml:space="preserve"> $        -104.295.359</t>
  </si>
  <si>
    <t xml:space="preserve"> $               -104.295.359</t>
  </si>
  <si>
    <t xml:space="preserve"> 5-2-01-03-003  PATENTES </t>
  </si>
  <si>
    <t xml:space="preserve"> 5-2-01-07-002  PATENTES </t>
  </si>
  <si>
    <t xml:space="preserve"> MARKETING </t>
  </si>
  <si>
    <t xml:space="preserve"> $             -9.347.514</t>
  </si>
  <si>
    <t xml:space="preserve"> $                    -9.347.514</t>
  </si>
  <si>
    <t xml:space="preserve"> 5-2-01-02-007  SERVICIOS DE PUBLICIDAD Y MARKETING </t>
  </si>
  <si>
    <t xml:space="preserve"> $             -6.643.330</t>
  </si>
  <si>
    <t xml:space="preserve"> $                    -6.643.330</t>
  </si>
  <si>
    <t xml:space="preserve"> 5-2-01-02-010  HONORARIOS DE COMERCIALIZACION </t>
  </si>
  <si>
    <t xml:space="preserve"> $             -1.738.548</t>
  </si>
  <si>
    <t xml:space="preserve"> $                    -1.738.548</t>
  </si>
  <si>
    <t xml:space="preserve"> 3-1-20-100 </t>
  </si>
  <si>
    <t xml:space="preserve"> 5-1-03-01-001  PROMOCIONES MARKETING </t>
  </si>
  <si>
    <t xml:space="preserve"> 5-1-03-01-004  PROMOCIONES VARIAS </t>
  </si>
  <si>
    <t xml:space="preserve"> $                -965.636</t>
  </si>
  <si>
    <t xml:space="preserve"> $                       -965.636</t>
  </si>
  <si>
    <t xml:space="preserve"> SEGUROS </t>
  </si>
  <si>
    <t xml:space="preserve"> $             -2.656.798</t>
  </si>
  <si>
    <t xml:space="preserve"> $                    -2.656.798</t>
  </si>
  <si>
    <t xml:space="preserve"> 3-1-40-100 </t>
  </si>
  <si>
    <t xml:space="preserve"> 5-1-01-08-001  SEGUROS BIENES FISICOS Y RESPONSABILIDAD CIVIL </t>
  </si>
  <si>
    <t xml:space="preserve"> INCOBRABLE </t>
  </si>
  <si>
    <t xml:space="preserve"> INCOBRABLES </t>
  </si>
  <si>
    <t xml:space="preserve"> 3-1-40-104 </t>
  </si>
  <si>
    <t xml:space="preserve"> 5-3-01-02-014  DEUDORES INCOBRABLES </t>
  </si>
  <si>
    <t xml:space="preserve"> 5-3-01-02-021  CASTIGO CLIENTE NO DOCUMENTADO </t>
  </si>
  <si>
    <t xml:space="preserve"> 5-3-01-02-022  CASTIGO CLIENTE DOCUMENTADO </t>
  </si>
  <si>
    <t xml:space="preserve"> OTROS GAST </t>
  </si>
  <si>
    <t xml:space="preserve"> OTROS GASTOS DE ADMINISTRACIÓN Y VENTAS </t>
  </si>
  <si>
    <t xml:space="preserve"> $        -136.478.559</t>
  </si>
  <si>
    <t xml:space="preserve"> $               -136.478.559</t>
  </si>
  <si>
    <t xml:space="preserve"> 3-1-10-104 </t>
  </si>
  <si>
    <t xml:space="preserve"> 5-3-01-02-003  OTROS EGRESOS </t>
  </si>
  <si>
    <t xml:space="preserve"> 3-1-10-109 </t>
  </si>
  <si>
    <t xml:space="preserve"> 5-3-01-02-006  GANANCIA (PERDIDA) SWAP </t>
  </si>
  <si>
    <t xml:space="preserve"> $               -105.460.498</t>
  </si>
  <si>
    <t xml:space="preserve"> 5-2-01-06-001  ARRIENDOS </t>
  </si>
  <si>
    <t xml:space="preserve"> $             -4.605.487</t>
  </si>
  <si>
    <t xml:space="preserve"> $                    -4.605.487</t>
  </si>
  <si>
    <t xml:space="preserve"> 5-1-01-04-022  CERTIFICACIÓN TRANSPORTE VERTICAL </t>
  </si>
  <si>
    <t xml:space="preserve"> 5-2-01-05-001  GASTOS DE REPRESENTACION </t>
  </si>
  <si>
    <t xml:space="preserve"> $             -4.168.632</t>
  </si>
  <si>
    <t xml:space="preserve"> $                    -4.168.632</t>
  </si>
  <si>
    <t xml:space="preserve"> 5-2-01-03-006  GASTOS GENERALES </t>
  </si>
  <si>
    <t xml:space="preserve"> $             -2.722.218</t>
  </si>
  <si>
    <t xml:space="preserve"> $                    -2.722.218</t>
  </si>
  <si>
    <t xml:space="preserve"> 5-3-01-02-013  GASTOS VIAJES EXTRANJERO </t>
  </si>
  <si>
    <t xml:space="preserve"> $                -116.587</t>
  </si>
  <si>
    <t xml:space="preserve"> $                       -116.587</t>
  </si>
  <si>
    <t xml:space="preserve"> 5-1-01-07-003  CAJA CHICA </t>
  </si>
  <si>
    <t xml:space="preserve"> 5-1-01-07-005  ARTICULOS DE OFICINA </t>
  </si>
  <si>
    <t xml:space="preserve"> $             -1.272.622</t>
  </si>
  <si>
    <t xml:space="preserve"> $                    -1.272.622</t>
  </si>
  <si>
    <t xml:space="preserve"> 5-1-01-07-006  GASTO FLETES </t>
  </si>
  <si>
    <t xml:space="preserve"> 5-1-03-01-002  GASTOS VARIOS MALL </t>
  </si>
  <si>
    <t xml:space="preserve"> 5-1-03-01-005  GASTOS DERECHO AUTOR </t>
  </si>
  <si>
    <t xml:space="preserve"> $                -287.781</t>
  </si>
  <si>
    <t xml:space="preserve"> $                       -287.781</t>
  </si>
  <si>
    <t xml:space="preserve"> 5-1-01-11-001  HABILITACIÓN LOCALES OUTLET FLORIDA </t>
  </si>
  <si>
    <t xml:space="preserve"> $                -317.704</t>
  </si>
  <si>
    <t xml:space="preserve"> $                       -317.704</t>
  </si>
  <si>
    <t xml:space="preserve"> 5-1-01-11-002  HABILITACIÓN LOCALES STRIP FLORIDA </t>
  </si>
  <si>
    <t xml:space="preserve"> 5-3-01-04-006  DONACION CUERPO DE BOMBEROS LINARES </t>
  </si>
  <si>
    <t xml:space="preserve"> 5-1-01-11-030  HABILITACIONES GENERALES </t>
  </si>
  <si>
    <t xml:space="preserve"> $                    -5.116.777</t>
  </si>
  <si>
    <t xml:space="preserve"> 3-1-40-174 </t>
  </si>
  <si>
    <t xml:space="preserve"> 5-3-01-02-020  COSTO MANDATO INVERSIONES NUEVA SANTA FIDELMIRA LIMITADA </t>
  </si>
  <si>
    <t xml:space="preserve"> $          -12.410.253</t>
  </si>
  <si>
    <t xml:space="preserve"> $                 -12.410.253</t>
  </si>
  <si>
    <t xml:space="preserve"> 5-2-01-02-005  SERVICIOS DE ARQUITECTURA </t>
  </si>
  <si>
    <t xml:space="preserve"> Total Gast </t>
  </si>
  <si>
    <t xml:space="preserve"> Total Gastos de administración y ventas </t>
  </si>
  <si>
    <t xml:space="preserve"> $        -684.958.887</t>
  </si>
  <si>
    <t xml:space="preserve"> $               -684.958.887</t>
  </si>
  <si>
    <t xml:space="preserve"> Total Oper </t>
  </si>
  <si>
    <t xml:space="preserve"> Total Operacional </t>
  </si>
  <si>
    <t xml:space="preserve"> $          483.420.877</t>
  </si>
  <si>
    <t xml:space="preserve"> $                 483.420.877</t>
  </si>
  <si>
    <t xml:space="preserve"> EBITDA </t>
  </si>
  <si>
    <t xml:space="preserve"> OTROS GASTOS FINANCIEROS </t>
  </si>
  <si>
    <t xml:space="preserve"> $          -53.031.039</t>
  </si>
  <si>
    <t xml:space="preserve"> $                 -53.031.039</t>
  </si>
  <si>
    <t xml:space="preserve"> 5-3-01-01-001  INTERESES LEASING </t>
  </si>
  <si>
    <t xml:space="preserve"> $          -79.235.894</t>
  </si>
  <si>
    <t xml:space="preserve"> $                 -79.235.894</t>
  </si>
  <si>
    <t xml:space="preserve"> 5-3-01-01-002  GASTOS BANCARIOS </t>
  </si>
  <si>
    <t xml:space="preserve"> $             -5.372.807</t>
  </si>
  <si>
    <t xml:space="preserve"> $                    -5.372.807</t>
  </si>
  <si>
    <t xml:space="preserve"> 3-1-40-109 </t>
  </si>
  <si>
    <t xml:space="preserve"> 5-3-01-01-003  MULTAS INTERESES Y REAJUSTES </t>
  </si>
  <si>
    <t xml:space="preserve"> $                -184.030</t>
  </si>
  <si>
    <t xml:space="preserve"> $                       -184.030</t>
  </si>
  <si>
    <t xml:space="preserve"> 5-3-01-01-004  GASTOS FINANCIEROS </t>
  </si>
  <si>
    <t xml:space="preserve"> 3-1-40-110 </t>
  </si>
  <si>
    <t xml:space="preserve"> 5-3-01-01-005  GASTOS E INTERESES COMERCIALES </t>
  </si>
  <si>
    <t xml:space="preserve"> $          -11.238.660</t>
  </si>
  <si>
    <t xml:space="preserve"> $                 -11.238.660</t>
  </si>
  <si>
    <t xml:space="preserve"> 3-1-40-114 </t>
  </si>
  <si>
    <t xml:space="preserve"> 5-3-01-02-004  GASTOS FUERA DEL GIRO </t>
  </si>
  <si>
    <t xml:space="preserve"> 3-1-40-118 </t>
  </si>
  <si>
    <t xml:space="preserve"> 5-3-01-02-007  MAYOR / MENOR VALOR DE INVERSIONES </t>
  </si>
  <si>
    <t xml:space="preserve"> $            43.000.352</t>
  </si>
  <si>
    <t xml:space="preserve"> $                   43.000.352</t>
  </si>
  <si>
    <t xml:space="preserve"> 3-1-40-170 </t>
  </si>
  <si>
    <t xml:space="preserve"> 5-3-01-02-009  COSTO VENTA ACTIVO FIJO </t>
  </si>
  <si>
    <t xml:space="preserve"> 3-1-40-171 </t>
  </si>
  <si>
    <t xml:space="preserve"> 5-3-01-02-012  OTROS GASTOS DEL EXTRANJERO </t>
  </si>
  <si>
    <t xml:space="preserve"> 3-1-40-179 </t>
  </si>
  <si>
    <t xml:space="preserve"> 5-3-01-04-003  IMPUESTOS VARIOS </t>
  </si>
  <si>
    <t xml:space="preserve"> Pago obligacion Leasing </t>
  </si>
  <si>
    <t xml:space="preserve"> $                 258.891.767</t>
  </si>
  <si>
    <t xml:space="preserve"> Total Resu </t>
  </si>
  <si>
    <t xml:space="preserve"> Total Resultado No Operación </t>
  </si>
  <si>
    <t xml:space="preserve"> Resultado  </t>
  </si>
  <si>
    <t xml:space="preserve"> Resultado Antes de Impuestos </t>
  </si>
  <si>
    <t xml:space="preserve"> $          430.389.838</t>
  </si>
  <si>
    <t xml:space="preserve"> $                 430.389.838</t>
  </si>
  <si>
    <t xml:space="preserve"> 3-1-40-116 </t>
  </si>
  <si>
    <t xml:space="preserve"> Resultado Del Periodo </t>
  </si>
  <si>
    <t xml:space="preserve"> ER. </t>
  </si>
  <si>
    <t xml:space="preserve"> $                 689.281.605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</si>
</sst>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41" formatCode="_ * #,##0_ ;_ * \-#,##0_ ;_ * &quot;-&quot;_ ;_ @_ "/>
    <numFmt numFmtId="164" formatCode="#,##0_ ;[Red]\-#,##0\ "/>
    <numFmt numFmtId="165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indexed="8"/>
      <name val="MS Sans Serif"/>
      <family val="2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0" fontId="12" fillId="0" borderId="0" applyNumberFormat="0" applyFill="0" applyBorder="0" applyAlignment="0" applyProtection="0"/>
  </cellStyleXfs>
  <cellXfs count="252">
    <xf numFmtId="0" fontId="0" fillId="0" borderId="0" xfId="0"/>
    <xf numFmtId="0" fontId="2" fillId="2" borderId="0" xfId="0" applyFont="1" applyFill="1"/>
    <xf numFmtId="42" fontId="3" fillId="2" borderId="0" xfId="2" applyFont="1" applyFill="1" applyBorder="1"/>
    <xf numFmtId="41" fontId="3" fillId="2" borderId="0" xfId="1" applyFont="1" applyFill="1" applyBorder="1"/>
    <xf numFmtId="0" fontId="3" fillId="2" borderId="0" xfId="0" applyFont="1" applyFill="1"/>
    <xf numFmtId="41" fontId="4" fillId="2" borderId="0" xfId="1" applyFont="1" applyFill="1" applyBorder="1"/>
    <xf numFmtId="42" fontId="2" fillId="2" borderId="0" xfId="2" applyFont="1" applyFill="1" applyBorder="1"/>
    <xf numFmtId="41" fontId="6" fillId="3" borderId="0" xfId="1" applyFont="1" applyFill="1" applyBorder="1" applyAlignment="1">
      <alignment vertical="center" wrapText="1"/>
    </xf>
    <xf numFmtId="41" fontId="5" fillId="3" borderId="0" xfId="1" applyFont="1" applyFill="1" applyBorder="1" applyAlignment="1">
      <alignment vertical="center" wrapText="1"/>
    </xf>
    <xf numFmtId="0" fontId="7" fillId="2" borderId="0" xfId="0" applyFont="1" applyFill="1"/>
    <xf numFmtId="42" fontId="5" fillId="4" borderId="0" xfId="2" applyFont="1" applyFill="1" applyBorder="1" applyAlignment="1">
      <alignment horizontal="center" vertical="center"/>
    </xf>
    <xf numFmtId="41" fontId="5" fillId="4" borderId="0" xfId="1" applyFont="1" applyFill="1" applyBorder="1" applyAlignment="1">
      <alignment horizontal="center" vertical="center"/>
    </xf>
    <xf numFmtId="42" fontId="8" fillId="4" borderId="0" xfId="2" applyFont="1" applyFill="1" applyBorder="1" applyAlignment="1">
      <alignment horizontal="center" vertical="center"/>
    </xf>
    <xf numFmtId="0" fontId="4" fillId="2" borderId="0" xfId="0" applyFont="1" applyFill="1"/>
    <xf numFmtId="42" fontId="3" fillId="2" borderId="0" xfId="2" applyFont="1" applyFill="1"/>
    <xf numFmtId="49" fontId="5" fillId="3" borderId="1" xfId="0" applyNumberFormat="1" applyFont="1" applyFill="1" applyBorder="1"/>
    <xf numFmtId="42" fontId="3" fillId="2" borderId="0" xfId="2" applyFont="1" applyFill="1" applyBorder="1" applyAlignment="1">
      <alignment horizontal="center" vertical="center"/>
    </xf>
    <xf numFmtId="41" fontId="3" fillId="2" borderId="0" xfId="1" applyFont="1" applyFill="1" applyBorder="1" applyAlignment="1">
      <alignment horizontal="center" vertical="center"/>
    </xf>
    <xf numFmtId="0" fontId="8" fillId="2" borderId="0" xfId="0" applyFont="1" applyFill="1"/>
    <xf numFmtId="0" fontId="2" fillId="2" borderId="2" xfId="0" applyFont="1" applyFill="1" applyBorder="1"/>
    <xf numFmtId="42" fontId="3" fillId="2" borderId="3" xfId="2" applyFont="1" applyFill="1" applyBorder="1"/>
    <xf numFmtId="42" fontId="3" fillId="2" borderId="2" xfId="2" applyFont="1" applyFill="1" applyBorder="1"/>
    <xf numFmtId="42" fontId="3" fillId="0" borderId="3" xfId="2" applyFont="1" applyFill="1" applyBorder="1"/>
    <xf numFmtId="42" fontId="3" fillId="0" borderId="2" xfId="2" applyFont="1" applyFill="1" applyBorder="1"/>
    <xf numFmtId="41" fontId="3" fillId="2" borderId="4" xfId="1" applyFont="1" applyFill="1" applyBorder="1"/>
    <xf numFmtId="9" fontId="2" fillId="2" borderId="0" xfId="3" applyFont="1" applyFill="1" applyBorder="1"/>
    <xf numFmtId="0" fontId="2" fillId="2" borderId="5" xfId="0" applyFont="1" applyFill="1" applyBorder="1"/>
    <xf numFmtId="42" fontId="3" fillId="2" borderId="6" xfId="2" applyFont="1" applyFill="1" applyBorder="1"/>
    <xf numFmtId="42" fontId="3" fillId="2" borderId="5" xfId="2" applyFont="1" applyFill="1" applyBorder="1"/>
    <xf numFmtId="42" fontId="3" fillId="0" borderId="6" xfId="2" applyFont="1" applyFill="1" applyBorder="1"/>
    <xf numFmtId="42" fontId="3" fillId="0" borderId="5" xfId="2" applyFont="1" applyFill="1" applyBorder="1"/>
    <xf numFmtId="41" fontId="3" fillId="2" borderId="7" xfId="1" applyFont="1" applyFill="1" applyBorder="1"/>
    <xf numFmtId="0" fontId="2" fillId="2" borderId="0" xfId="2" applyNumberFormat="1" applyFont="1" applyFill="1" applyBorder="1"/>
    <xf numFmtId="41" fontId="2" fillId="2" borderId="0" xfId="1" applyFont="1" applyFill="1" applyBorder="1"/>
    <xf numFmtId="0" fontId="2" fillId="2" borderId="8" xfId="0" applyFont="1" applyFill="1" applyBorder="1"/>
    <xf numFmtId="42" fontId="3" fillId="2" borderId="9" xfId="2" applyFont="1" applyFill="1" applyBorder="1"/>
    <xf numFmtId="42" fontId="3" fillId="2" borderId="8" xfId="2" applyFont="1" applyFill="1" applyBorder="1"/>
    <xf numFmtId="42" fontId="3" fillId="0" borderId="9" xfId="2" applyFont="1" applyFill="1" applyBorder="1"/>
    <xf numFmtId="42" fontId="3" fillId="0" borderId="8" xfId="2" applyFont="1" applyFill="1" applyBorder="1"/>
    <xf numFmtId="41" fontId="3" fillId="2" borderId="10" xfId="1" applyFont="1" applyFill="1" applyBorder="1"/>
    <xf numFmtId="0" fontId="9" fillId="2" borderId="1" xfId="0" applyFont="1" applyFill="1" applyBorder="1"/>
    <xf numFmtId="0" fontId="9" fillId="2" borderId="0" xfId="0" applyFont="1" applyFill="1"/>
    <xf numFmtId="42" fontId="10" fillId="2" borderId="1" xfId="2" applyFont="1" applyFill="1" applyBorder="1"/>
    <xf numFmtId="164" fontId="10" fillId="2" borderId="1" xfId="1" applyNumberFormat="1" applyFont="1" applyFill="1" applyBorder="1"/>
    <xf numFmtId="164" fontId="3" fillId="2" borderId="0" xfId="1" applyNumberFormat="1" applyFont="1" applyFill="1" applyBorder="1"/>
    <xf numFmtId="41" fontId="2" fillId="2" borderId="0" xfId="0" applyNumberFormat="1" applyFont="1" applyFill="1"/>
    <xf numFmtId="42" fontId="3" fillId="0" borderId="11" xfId="2" applyFont="1" applyFill="1" applyBorder="1"/>
    <xf numFmtId="41" fontId="3" fillId="2" borderId="2" xfId="1" applyFont="1" applyFill="1" applyBorder="1"/>
    <xf numFmtId="41" fontId="3" fillId="0" borderId="5" xfId="1" applyFont="1" applyFill="1" applyBorder="1"/>
    <xf numFmtId="41" fontId="3" fillId="2" borderId="5" xfId="1" applyFont="1" applyFill="1" applyBorder="1"/>
    <xf numFmtId="164" fontId="3" fillId="2" borderId="5" xfId="1" applyNumberFormat="1" applyFont="1" applyFill="1" applyBorder="1"/>
    <xf numFmtId="0" fontId="2" fillId="2" borderId="12" xfId="0" applyFont="1" applyFill="1" applyBorder="1"/>
    <xf numFmtId="41" fontId="3" fillId="2" borderId="8" xfId="1" applyFont="1" applyFill="1" applyBorder="1"/>
    <xf numFmtId="0" fontId="7" fillId="2" borderId="1" xfId="0" applyFont="1" applyFill="1" applyBorder="1"/>
    <xf numFmtId="41" fontId="9" fillId="2" borderId="0" xfId="1" applyFont="1" applyFill="1" applyBorder="1"/>
    <xf numFmtId="49" fontId="5" fillId="2" borderId="0" xfId="0" applyNumberFormat="1" applyFont="1" applyFill="1"/>
    <xf numFmtId="0" fontId="9" fillId="5" borderId="2" xfId="0" applyFont="1" applyFill="1" applyBorder="1"/>
    <xf numFmtId="42" fontId="10" fillId="5" borderId="1" xfId="2" applyFont="1" applyFill="1" applyBorder="1"/>
    <xf numFmtId="42" fontId="10" fillId="5" borderId="13" xfId="2" applyFont="1" applyFill="1" applyBorder="1"/>
    <xf numFmtId="41" fontId="10" fillId="5" borderId="13" xfId="1" applyFont="1" applyFill="1" applyBorder="1"/>
    <xf numFmtId="41" fontId="10" fillId="5" borderId="1" xfId="1" applyFont="1" applyFill="1" applyBorder="1"/>
    <xf numFmtId="42" fontId="3" fillId="2" borderId="14" xfId="2" applyFont="1" applyFill="1" applyBorder="1"/>
    <xf numFmtId="42" fontId="3" fillId="2" borderId="15" xfId="2" applyFont="1" applyFill="1" applyBorder="1"/>
    <xf numFmtId="41" fontId="3" fillId="0" borderId="15" xfId="1" applyFont="1" applyFill="1" applyBorder="1"/>
    <xf numFmtId="42" fontId="3" fillId="0" borderId="14" xfId="2" applyFont="1" applyFill="1" applyBorder="1"/>
    <xf numFmtId="41" fontId="3" fillId="2" borderId="14" xfId="1" applyFont="1" applyFill="1" applyBorder="1"/>
    <xf numFmtId="41" fontId="3" fillId="0" borderId="6" xfId="1" applyFont="1" applyFill="1" applyBorder="1"/>
    <xf numFmtId="49" fontId="3" fillId="0" borderId="5" xfId="4" applyNumberFormat="1" applyFont="1" applyBorder="1"/>
    <xf numFmtId="41" fontId="3" fillId="0" borderId="16" xfId="1" applyFont="1" applyFill="1" applyBorder="1"/>
    <xf numFmtId="42" fontId="3" fillId="2" borderId="12" xfId="2" applyFont="1" applyFill="1" applyBorder="1"/>
    <xf numFmtId="9" fontId="2" fillId="2" borderId="0" xfId="0" applyNumberFormat="1" applyFont="1" applyFill="1"/>
    <xf numFmtId="0" fontId="2" fillId="2" borderId="14" xfId="0" applyFont="1" applyFill="1" applyBorder="1"/>
    <xf numFmtId="41" fontId="3" fillId="0" borderId="14" xfId="1" applyFont="1" applyFill="1" applyBorder="1"/>
    <xf numFmtId="165" fontId="13" fillId="2" borderId="0" xfId="5" applyNumberFormat="1" applyFont="1" applyFill="1" applyBorder="1"/>
    <xf numFmtId="41" fontId="3" fillId="0" borderId="8" xfId="1" applyFont="1" applyFill="1" applyBorder="1"/>
    <xf numFmtId="41" fontId="3" fillId="2" borderId="15" xfId="1" applyFont="1" applyFill="1" applyBorder="1"/>
    <xf numFmtId="41" fontId="3" fillId="2" borderId="6" xfId="1" applyFont="1" applyFill="1" applyBorder="1"/>
    <xf numFmtId="41" fontId="3" fillId="2" borderId="16" xfId="1" applyFont="1" applyFill="1" applyBorder="1"/>
    <xf numFmtId="3" fontId="2" fillId="2" borderId="0" xfId="0" applyNumberFormat="1" applyFont="1" applyFill="1"/>
    <xf numFmtId="41" fontId="3" fillId="0" borderId="5" xfId="1" applyFont="1" applyBorder="1"/>
    <xf numFmtId="164" fontId="2" fillId="2" borderId="0" xfId="0" applyNumberFormat="1" applyFont="1" applyFill="1"/>
    <xf numFmtId="41" fontId="3" fillId="2" borderId="17" xfId="1" applyFont="1" applyFill="1" applyBorder="1"/>
    <xf numFmtId="42" fontId="3" fillId="2" borderId="18" xfId="2" applyFont="1" applyFill="1" applyBorder="1"/>
    <xf numFmtId="41" fontId="3" fillId="0" borderId="17" xfId="1" applyFont="1" applyFill="1" applyBorder="1"/>
    <xf numFmtId="41" fontId="3" fillId="2" borderId="12" xfId="1" applyFont="1" applyFill="1" applyBorder="1"/>
    <xf numFmtId="42" fontId="3" fillId="5" borderId="13" xfId="2" applyFont="1" applyFill="1" applyBorder="1"/>
    <xf numFmtId="41" fontId="3" fillId="2" borderId="18" xfId="1" applyFont="1" applyFill="1" applyBorder="1"/>
    <xf numFmtId="49" fontId="3" fillId="0" borderId="12" xfId="4" applyNumberFormat="1" applyFont="1" applyBorder="1"/>
    <xf numFmtId="42" fontId="10" fillId="5" borderId="19" xfId="2" applyFont="1" applyFill="1" applyBorder="1"/>
    <xf numFmtId="41" fontId="3" fillId="2" borderId="20" xfId="1" applyFont="1" applyFill="1" applyBorder="1"/>
    <xf numFmtId="41" fontId="3" fillId="2" borderId="21" xfId="1" applyFont="1" applyFill="1" applyBorder="1"/>
    <xf numFmtId="41" fontId="3" fillId="2" borderId="22" xfId="1" applyFont="1" applyFill="1" applyBorder="1"/>
    <xf numFmtId="41" fontId="3" fillId="2" borderId="23" xfId="1" applyFont="1" applyFill="1" applyBorder="1"/>
    <xf numFmtId="41" fontId="3" fillId="2" borderId="24" xfId="1" applyFont="1" applyFill="1" applyBorder="1"/>
    <xf numFmtId="0" fontId="9" fillId="2" borderId="17" xfId="0" applyFont="1" applyFill="1" applyBorder="1"/>
    <xf numFmtId="41" fontId="3" fillId="2" borderId="25" xfId="1" applyFont="1" applyFill="1" applyBorder="1"/>
    <xf numFmtId="41" fontId="3" fillId="2" borderId="26" xfId="1" applyFont="1" applyFill="1" applyBorder="1"/>
    <xf numFmtId="41" fontId="3" fillId="2" borderId="27" xfId="1" applyFont="1" applyFill="1" applyBorder="1"/>
    <xf numFmtId="41" fontId="3" fillId="2" borderId="28" xfId="1" applyFont="1" applyFill="1" applyBorder="1"/>
    <xf numFmtId="49" fontId="3" fillId="0" borderId="14" xfId="4" applyNumberFormat="1" applyFont="1" applyBorder="1"/>
    <xf numFmtId="49" fontId="3" fillId="0" borderId="8" xfId="4" applyNumberFormat="1" applyFont="1" applyBorder="1"/>
    <xf numFmtId="41" fontId="3" fillId="2" borderId="9" xfId="1" applyFont="1" applyFill="1" applyBorder="1"/>
    <xf numFmtId="41" fontId="3" fillId="2" borderId="29" xfId="1" applyFont="1" applyFill="1" applyBorder="1"/>
    <xf numFmtId="41" fontId="3" fillId="2" borderId="30" xfId="1" applyFont="1" applyFill="1" applyBorder="1"/>
    <xf numFmtId="49" fontId="3" fillId="0" borderId="0" xfId="4" applyNumberFormat="1" applyFont="1"/>
    <xf numFmtId="3" fontId="3" fillId="2" borderId="0" xfId="1" applyNumberFormat="1" applyFont="1" applyFill="1" applyBorder="1"/>
    <xf numFmtId="41" fontId="10" fillId="2" borderId="1" xfId="1" applyFont="1" applyFill="1" applyBorder="1"/>
    <xf numFmtId="0" fontId="9" fillId="6" borderId="1" xfId="0" applyFont="1" applyFill="1" applyBorder="1"/>
    <xf numFmtId="42" fontId="10" fillId="6" borderId="1" xfId="2" applyFont="1" applyFill="1" applyBorder="1"/>
    <xf numFmtId="42" fontId="6" fillId="6" borderId="1" xfId="2" applyFont="1" applyFill="1" applyBorder="1"/>
    <xf numFmtId="0" fontId="8" fillId="0" borderId="0" xfId="0" applyFont="1"/>
    <xf numFmtId="0" fontId="7" fillId="0" borderId="0" xfId="0" applyFont="1"/>
    <xf numFmtId="0" fontId="9" fillId="0" borderId="0" xfId="0" applyFont="1"/>
    <xf numFmtId="42" fontId="3" fillId="0" borderId="0" xfId="2" applyFont="1" applyFill="1" applyBorder="1"/>
    <xf numFmtId="3" fontId="3" fillId="0" borderId="0" xfId="1" applyNumberFormat="1" applyFont="1" applyFill="1" applyBorder="1"/>
    <xf numFmtId="42" fontId="2" fillId="0" borderId="0" xfId="2" applyFont="1" applyFill="1" applyBorder="1"/>
    <xf numFmtId="0" fontId="2" fillId="0" borderId="0" xfId="0" applyFont="1"/>
    <xf numFmtId="49" fontId="5" fillId="3" borderId="2" xfId="0" applyNumberFormat="1" applyFont="1" applyFill="1" applyBorder="1"/>
    <xf numFmtId="42" fontId="5" fillId="3" borderId="31" xfId="2" applyFont="1" applyFill="1" applyBorder="1"/>
    <xf numFmtId="3" fontId="5" fillId="3" borderId="31" xfId="1" applyNumberFormat="1" applyFont="1" applyFill="1" applyBorder="1"/>
    <xf numFmtId="41" fontId="3" fillId="2" borderId="3" xfId="1" applyFont="1" applyFill="1" applyBorder="1"/>
    <xf numFmtId="41" fontId="3" fillId="0" borderId="2" xfId="1" applyFont="1" applyFill="1" applyBorder="1"/>
    <xf numFmtId="0" fontId="5" fillId="7" borderId="0" xfId="0" applyFont="1" applyFill="1"/>
    <xf numFmtId="0" fontId="5" fillId="2" borderId="0" xfId="0" applyFont="1" applyFill="1"/>
    <xf numFmtId="42" fontId="5" fillId="7" borderId="26" xfId="2" applyFont="1" applyFill="1" applyBorder="1"/>
    <xf numFmtId="41" fontId="4" fillId="2" borderId="0" xfId="0" applyNumberFormat="1" applyFont="1" applyFill="1"/>
    <xf numFmtId="0" fontId="10" fillId="6" borderId="27" xfId="0" applyFont="1" applyFill="1" applyBorder="1"/>
    <xf numFmtId="0" fontId="10" fillId="6" borderId="22" xfId="0" applyFont="1" applyFill="1" applyBorder="1"/>
    <xf numFmtId="42" fontId="10" fillId="6" borderId="25" xfId="0" applyNumberFormat="1" applyFont="1" applyFill="1" applyBorder="1"/>
    <xf numFmtId="0" fontId="3" fillId="2" borderId="21" xfId="0" applyFont="1" applyFill="1" applyBorder="1"/>
    <xf numFmtId="0" fontId="10" fillId="2" borderId="21" xfId="0" applyFont="1" applyFill="1" applyBorder="1" applyAlignment="1">
      <alignment horizontal="center"/>
    </xf>
    <xf numFmtId="42" fontId="3" fillId="2" borderId="0" xfId="0" applyNumberFormat="1" applyFont="1" applyFill="1"/>
    <xf numFmtId="3" fontId="3" fillId="2" borderId="0" xfId="0" applyNumberFormat="1" applyFont="1" applyFill="1"/>
    <xf numFmtId="0" fontId="3" fillId="2" borderId="32" xfId="0" applyFont="1" applyFill="1" applyBorder="1"/>
    <xf numFmtId="42" fontId="3" fillId="2" borderId="32" xfId="0" applyNumberFormat="1" applyFont="1" applyFill="1" applyBorder="1"/>
    <xf numFmtId="0" fontId="15" fillId="0" borderId="0" xfId="0" applyFont="1"/>
    <xf numFmtId="0" fontId="16" fillId="8" borderId="25" xfId="0" applyFont="1" applyFill="1" applyBorder="1"/>
    <xf numFmtId="0" fontId="16" fillId="9" borderId="26" xfId="0" applyFont="1" applyFill="1" applyBorder="1"/>
    <xf numFmtId="0" fontId="16" fillId="9" borderId="25" xfId="0" applyFont="1" applyFill="1" applyBorder="1"/>
    <xf numFmtId="0" fontId="15" fillId="0" borderId="36" xfId="0" applyFont="1" applyBorder="1"/>
    <xf numFmtId="14" fontId="15" fillId="0" borderId="36" xfId="0" applyNumberFormat="1" applyFont="1" applyBorder="1"/>
    <xf numFmtId="3" fontId="15" fillId="0" borderId="36" xfId="0" applyNumberFormat="1" applyFont="1" applyBorder="1"/>
    <xf numFmtId="0" fontId="15" fillId="0" borderId="34" xfId="0" applyFont="1" applyBorder="1"/>
    <xf numFmtId="3" fontId="16" fillId="0" borderId="0" xfId="0" applyNumberFormat="1" applyFont="1"/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8" borderId="26" xfId="0" applyFont="1" applyFill="1" applyBorder="1" applyAlignment="1">
      <alignment horizontal="center" vertical="center"/>
    </xf>
    <xf numFmtId="0" fontId="16" fillId="8" borderId="2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24" xfId="0" applyFont="1" applyBorder="1"/>
    <xf numFmtId="0" fontId="16" fillId="8" borderId="25" xfId="0" applyFont="1" applyFill="1" applyBorder="1" applyAlignment="1">
      <alignment horizontal="center"/>
    </xf>
    <xf numFmtId="0" fontId="15" fillId="0" borderId="36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42" fontId="3" fillId="2" borderId="0" xfId="2" applyFont="1" applyFill="1" applyBorder="1" applyAlignment="1">
      <alignment horizontal="right"/>
    </xf>
    <xf numFmtId="41" fontId="3" fillId="2" borderId="0" xfId="1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42" fontId="3" fillId="2" borderId="0" xfId="2" applyFont="1" applyFill="1" applyAlignment="1">
      <alignment horizontal="right"/>
    </xf>
    <xf numFmtId="42" fontId="5" fillId="4" borderId="0" xfId="2" applyFont="1" applyFill="1" applyBorder="1" applyAlignment="1">
      <alignment horizontal="right" vertical="center"/>
    </xf>
    <xf numFmtId="41" fontId="5" fillId="4" borderId="0" xfId="1" applyFont="1" applyFill="1" applyBorder="1" applyAlignment="1">
      <alignment horizontal="right" vertical="center"/>
    </xf>
    <xf numFmtId="42" fontId="8" fillId="4" borderId="0" xfId="2" applyFont="1" applyFill="1" applyBorder="1" applyAlignment="1">
      <alignment horizontal="right" vertical="center"/>
    </xf>
    <xf numFmtId="42" fontId="3" fillId="2" borderId="0" xfId="2" applyFont="1" applyFill="1" applyBorder="1" applyAlignment="1">
      <alignment horizontal="right" vertical="center"/>
    </xf>
    <xf numFmtId="41" fontId="3" fillId="2" borderId="0" xfId="1" applyFont="1" applyFill="1" applyBorder="1" applyAlignment="1">
      <alignment horizontal="right" vertical="center"/>
    </xf>
    <xf numFmtId="42" fontId="3" fillId="2" borderId="3" xfId="2" applyFont="1" applyFill="1" applyBorder="1" applyAlignment="1">
      <alignment horizontal="right"/>
    </xf>
    <xf numFmtId="42" fontId="3" fillId="2" borderId="2" xfId="2" applyFont="1" applyFill="1" applyBorder="1" applyAlignment="1">
      <alignment horizontal="right"/>
    </xf>
    <xf numFmtId="42" fontId="3" fillId="0" borderId="3" xfId="2" applyFont="1" applyFill="1" applyBorder="1" applyAlignment="1">
      <alignment horizontal="right"/>
    </xf>
    <xf numFmtId="42" fontId="3" fillId="0" borderId="2" xfId="2" applyFont="1" applyFill="1" applyBorder="1" applyAlignment="1">
      <alignment horizontal="right"/>
    </xf>
    <xf numFmtId="42" fontId="3" fillId="2" borderId="6" xfId="2" applyFont="1" applyFill="1" applyBorder="1" applyAlignment="1">
      <alignment horizontal="right"/>
    </xf>
    <xf numFmtId="42" fontId="3" fillId="2" borderId="5" xfId="2" applyFont="1" applyFill="1" applyBorder="1" applyAlignment="1">
      <alignment horizontal="right"/>
    </xf>
    <xf numFmtId="42" fontId="3" fillId="0" borderId="6" xfId="2" applyFont="1" applyFill="1" applyBorder="1" applyAlignment="1">
      <alignment horizontal="right"/>
    </xf>
    <xf numFmtId="42" fontId="3" fillId="0" borderId="5" xfId="2" applyFont="1" applyFill="1" applyBorder="1" applyAlignment="1">
      <alignment horizontal="right"/>
    </xf>
    <xf numFmtId="42" fontId="3" fillId="2" borderId="9" xfId="2" applyFont="1" applyFill="1" applyBorder="1" applyAlignment="1">
      <alignment horizontal="right"/>
    </xf>
    <xf numFmtId="42" fontId="3" fillId="2" borderId="8" xfId="2" applyFont="1" applyFill="1" applyBorder="1" applyAlignment="1">
      <alignment horizontal="right"/>
    </xf>
    <xf numFmtId="42" fontId="3" fillId="0" borderId="9" xfId="2" applyFont="1" applyFill="1" applyBorder="1" applyAlignment="1">
      <alignment horizontal="right"/>
    </xf>
    <xf numFmtId="42" fontId="3" fillId="0" borderId="8" xfId="2" applyFont="1" applyFill="1" applyBorder="1" applyAlignment="1">
      <alignment horizontal="right"/>
    </xf>
    <xf numFmtId="42" fontId="10" fillId="2" borderId="1" xfId="2" applyFont="1" applyFill="1" applyBorder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42" fontId="3" fillId="0" borderId="11" xfId="2" applyFont="1" applyFill="1" applyBorder="1" applyAlignment="1">
      <alignment horizontal="right"/>
    </xf>
    <xf numFmtId="41" fontId="3" fillId="0" borderId="5" xfId="1" applyFont="1" applyFill="1" applyBorder="1" applyAlignment="1">
      <alignment horizontal="right"/>
    </xf>
    <xf numFmtId="41" fontId="3" fillId="2" borderId="8" xfId="1" applyFont="1" applyFill="1" applyBorder="1" applyAlignment="1">
      <alignment horizontal="right"/>
    </xf>
    <xf numFmtId="42" fontId="10" fillId="5" borderId="1" xfId="2" applyFont="1" applyFill="1" applyBorder="1" applyAlignment="1">
      <alignment horizontal="right"/>
    </xf>
    <xf numFmtId="42" fontId="10" fillId="5" borderId="13" xfId="2" applyFont="1" applyFill="1" applyBorder="1" applyAlignment="1">
      <alignment horizontal="right"/>
    </xf>
    <xf numFmtId="41" fontId="10" fillId="5" borderId="13" xfId="1" applyFont="1" applyFill="1" applyBorder="1" applyAlignment="1">
      <alignment horizontal="right"/>
    </xf>
    <xf numFmtId="42" fontId="3" fillId="2" borderId="14" xfId="2" applyFont="1" applyFill="1" applyBorder="1" applyAlignment="1">
      <alignment horizontal="right"/>
    </xf>
    <xf numFmtId="42" fontId="3" fillId="2" borderId="15" xfId="2" applyFont="1" applyFill="1" applyBorder="1" applyAlignment="1">
      <alignment horizontal="right"/>
    </xf>
    <xf numFmtId="41" fontId="3" fillId="0" borderId="15" xfId="1" applyFont="1" applyFill="1" applyBorder="1" applyAlignment="1">
      <alignment horizontal="right"/>
    </xf>
    <xf numFmtId="42" fontId="3" fillId="0" borderId="14" xfId="2" applyFont="1" applyFill="1" applyBorder="1" applyAlignment="1">
      <alignment horizontal="right"/>
    </xf>
    <xf numFmtId="41" fontId="3" fillId="0" borderId="6" xfId="1" applyFont="1" applyFill="1" applyBorder="1" applyAlignment="1">
      <alignment horizontal="right"/>
    </xf>
    <xf numFmtId="41" fontId="3" fillId="0" borderId="16" xfId="1" applyFont="1" applyFill="1" applyBorder="1" applyAlignment="1">
      <alignment horizontal="right"/>
    </xf>
    <xf numFmtId="42" fontId="3" fillId="2" borderId="12" xfId="2" applyFont="1" applyFill="1" applyBorder="1" applyAlignment="1">
      <alignment horizontal="right"/>
    </xf>
    <xf numFmtId="41" fontId="3" fillId="0" borderId="14" xfId="1" applyFont="1" applyFill="1" applyBorder="1" applyAlignment="1">
      <alignment horizontal="right"/>
    </xf>
    <xf numFmtId="41" fontId="3" fillId="0" borderId="8" xfId="1" applyFont="1" applyFill="1" applyBorder="1" applyAlignment="1">
      <alignment horizontal="right"/>
    </xf>
    <xf numFmtId="41" fontId="3" fillId="2" borderId="15" xfId="1" applyFont="1" applyFill="1" applyBorder="1" applyAlignment="1">
      <alignment horizontal="right"/>
    </xf>
    <xf numFmtId="41" fontId="3" fillId="2" borderId="6" xfId="1" applyFont="1" applyFill="1" applyBorder="1" applyAlignment="1">
      <alignment horizontal="right"/>
    </xf>
    <xf numFmtId="41" fontId="3" fillId="2" borderId="16" xfId="1" applyFont="1" applyFill="1" applyBorder="1" applyAlignment="1">
      <alignment horizontal="right"/>
    </xf>
    <xf numFmtId="41" fontId="3" fillId="2" borderId="17" xfId="1" applyFont="1" applyFill="1" applyBorder="1" applyAlignment="1">
      <alignment horizontal="right"/>
    </xf>
    <xf numFmtId="42" fontId="3" fillId="2" borderId="18" xfId="2" applyFont="1" applyFill="1" applyBorder="1" applyAlignment="1">
      <alignment horizontal="right"/>
    </xf>
    <xf numFmtId="41" fontId="3" fillId="0" borderId="17" xfId="1" applyFont="1" applyFill="1" applyBorder="1" applyAlignment="1">
      <alignment horizontal="right"/>
    </xf>
    <xf numFmtId="41" fontId="3" fillId="2" borderId="14" xfId="1" applyFont="1" applyFill="1" applyBorder="1" applyAlignment="1">
      <alignment horizontal="right"/>
    </xf>
    <xf numFmtId="41" fontId="3" fillId="2" borderId="12" xfId="1" applyFont="1" applyFill="1" applyBorder="1" applyAlignment="1">
      <alignment horizontal="right"/>
    </xf>
    <xf numFmtId="42" fontId="3" fillId="5" borderId="13" xfId="2" applyFont="1" applyFill="1" applyBorder="1" applyAlignment="1">
      <alignment horizontal="right"/>
    </xf>
    <xf numFmtId="41" fontId="3" fillId="2" borderId="18" xfId="1" applyFont="1" applyFill="1" applyBorder="1" applyAlignment="1">
      <alignment horizontal="right"/>
    </xf>
    <xf numFmtId="41" fontId="3" fillId="2" borderId="5" xfId="1" applyFont="1" applyFill="1" applyBorder="1" applyAlignment="1">
      <alignment horizontal="right"/>
    </xf>
    <xf numFmtId="42" fontId="10" fillId="5" borderId="19" xfId="2" applyFont="1" applyFill="1" applyBorder="1" applyAlignment="1">
      <alignment horizontal="right"/>
    </xf>
    <xf numFmtId="41" fontId="3" fillId="2" borderId="20" xfId="1" applyFont="1" applyFill="1" applyBorder="1" applyAlignment="1">
      <alignment horizontal="right"/>
    </xf>
    <xf numFmtId="41" fontId="3" fillId="2" borderId="21" xfId="1" applyFont="1" applyFill="1" applyBorder="1" applyAlignment="1">
      <alignment horizontal="right"/>
    </xf>
    <xf numFmtId="41" fontId="3" fillId="2" borderId="7" xfId="1" applyFont="1" applyFill="1" applyBorder="1" applyAlignment="1">
      <alignment horizontal="right"/>
    </xf>
    <xf numFmtId="41" fontId="3" fillId="2" borderId="22" xfId="1" applyFont="1" applyFill="1" applyBorder="1" applyAlignment="1">
      <alignment horizontal="right"/>
    </xf>
    <xf numFmtId="41" fontId="3" fillId="2" borderId="23" xfId="1" applyFont="1" applyFill="1" applyBorder="1" applyAlignment="1">
      <alignment horizontal="right"/>
    </xf>
    <xf numFmtId="41" fontId="3" fillId="2" borderId="24" xfId="1" applyFont="1" applyFill="1" applyBorder="1" applyAlignment="1">
      <alignment horizontal="right"/>
    </xf>
    <xf numFmtId="41" fontId="3" fillId="2" borderId="25" xfId="1" applyFont="1" applyFill="1" applyBorder="1" applyAlignment="1">
      <alignment horizontal="right"/>
    </xf>
    <xf numFmtId="41" fontId="3" fillId="2" borderId="26" xfId="1" applyFont="1" applyFill="1" applyBorder="1" applyAlignment="1">
      <alignment horizontal="right"/>
    </xf>
    <xf numFmtId="41" fontId="3" fillId="2" borderId="27" xfId="1" applyFont="1" applyFill="1" applyBorder="1" applyAlignment="1">
      <alignment horizontal="right"/>
    </xf>
    <xf numFmtId="41" fontId="3" fillId="2" borderId="10" xfId="1" applyFont="1" applyFill="1" applyBorder="1" applyAlignment="1">
      <alignment horizontal="right"/>
    </xf>
    <xf numFmtId="41" fontId="3" fillId="2" borderId="9" xfId="1" applyFont="1" applyFill="1" applyBorder="1" applyAlignment="1">
      <alignment horizontal="right"/>
    </xf>
    <xf numFmtId="41" fontId="3" fillId="2" borderId="29" xfId="1" applyFont="1" applyFill="1" applyBorder="1" applyAlignment="1">
      <alignment horizontal="right"/>
    </xf>
    <xf numFmtId="41" fontId="3" fillId="2" borderId="30" xfId="1" applyFont="1" applyFill="1" applyBorder="1" applyAlignment="1">
      <alignment horizontal="right"/>
    </xf>
    <xf numFmtId="3" fontId="3" fillId="2" borderId="0" xfId="1" applyNumberFormat="1" applyFont="1" applyFill="1" applyBorder="1" applyAlignment="1">
      <alignment horizontal="right"/>
    </xf>
    <xf numFmtId="42" fontId="10" fillId="6" borderId="1" xfId="2" applyFont="1" applyFill="1" applyBorder="1" applyAlignment="1">
      <alignment horizontal="right"/>
    </xf>
    <xf numFmtId="42" fontId="6" fillId="6" borderId="1" xfId="2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42" fontId="3" fillId="0" borderId="0" xfId="2" applyFont="1" applyFill="1" applyBorder="1" applyAlignment="1">
      <alignment horizontal="right"/>
    </xf>
    <xf numFmtId="3" fontId="3" fillId="0" borderId="0" xfId="1" applyNumberFormat="1" applyFont="1" applyFill="1" applyBorder="1" applyAlignment="1">
      <alignment horizontal="right"/>
    </xf>
    <xf numFmtId="42" fontId="5" fillId="3" borderId="31" xfId="2" applyFont="1" applyFill="1" applyBorder="1" applyAlignment="1">
      <alignment horizontal="right"/>
    </xf>
    <xf numFmtId="41" fontId="3" fillId="2" borderId="2" xfId="1" applyFont="1" applyFill="1" applyBorder="1" applyAlignment="1">
      <alignment horizontal="right"/>
    </xf>
    <xf numFmtId="41" fontId="3" fillId="2" borderId="3" xfId="1" applyFont="1" applyFill="1" applyBorder="1" applyAlignment="1">
      <alignment horizontal="right"/>
    </xf>
    <xf numFmtId="41" fontId="3" fillId="0" borderId="2" xfId="1" applyFont="1" applyFill="1" applyBorder="1" applyAlignment="1">
      <alignment horizontal="right"/>
    </xf>
    <xf numFmtId="42" fontId="5" fillId="7" borderId="26" xfId="2" applyFont="1" applyFill="1" applyBorder="1" applyAlignment="1">
      <alignment horizontal="right"/>
    </xf>
    <xf numFmtId="0" fontId="10" fillId="6" borderId="27" xfId="0" applyFont="1" applyFill="1" applyBorder="1" applyAlignment="1">
      <alignment horizontal="right"/>
    </xf>
    <xf numFmtId="0" fontId="10" fillId="6" borderId="22" xfId="0" applyFont="1" applyFill="1" applyBorder="1" applyAlignment="1">
      <alignment horizontal="right"/>
    </xf>
    <xf numFmtId="0" fontId="3" fillId="2" borderId="21" xfId="0" applyFont="1" applyFill="1" applyBorder="1" applyAlignment="1">
      <alignment horizontal="right"/>
    </xf>
    <xf numFmtId="0" fontId="10" fillId="2" borderId="21" xfId="0" applyFont="1" applyFill="1" applyBorder="1" applyAlignment="1">
      <alignment horizontal="right"/>
    </xf>
    <xf numFmtId="42" fontId="3" fillId="2" borderId="0" xfId="0" applyNumberFormat="1" applyFont="1" applyFill="1" applyAlignment="1">
      <alignment horizontal="right"/>
    </xf>
    <xf numFmtId="3" fontId="3" fillId="2" borderId="0" xfId="0" applyNumberFormat="1" applyFont="1" applyFill="1" applyAlignment="1">
      <alignment horizontal="right"/>
    </xf>
    <xf numFmtId="0" fontId="3" fillId="2" borderId="32" xfId="0" applyFont="1" applyFill="1" applyBorder="1" applyAlignment="1">
      <alignment horizontal="right"/>
    </xf>
    <xf numFmtId="42" fontId="3" fillId="2" borderId="32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41" fontId="5" fillId="3" borderId="0" xfId="1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right"/>
    </xf>
    <xf numFmtId="0" fontId="3" fillId="2" borderId="33" xfId="0" applyFont="1" applyFill="1" applyBorder="1" applyAlignment="1">
      <alignment horizontal="right"/>
    </xf>
    <xf numFmtId="0" fontId="14" fillId="4" borderId="0" xfId="0" applyFont="1" applyFill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15" fillId="0" borderId="35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6" fillId="0" borderId="24" xfId="0" applyFont="1" applyBorder="1"/>
    <xf numFmtId="0" fontId="15" fillId="0" borderId="34" xfId="0" applyFont="1" applyBorder="1" applyAlignment="1">
      <alignment horizontal="center" vertical="center" wrapText="1"/>
    </xf>
  </cellXfs>
  <cellStyles count="6">
    <cellStyle name="Hipervínculo" xfId="5" builtinId="8"/>
    <cellStyle name="Millares [0]" xfId="1" builtinId="6"/>
    <cellStyle name="Moneda [0]" xfId="2" builtinId="7"/>
    <cellStyle name="Normal" xfId="0" builtinId="0"/>
    <cellStyle name="Normal 2" xfId="4" xr:uid="{23F36009-3472-4720-B9A3-AD888EB96C1B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isfcl.sharepoint.com/sites/CONTABILIDAD/Documentos%20compartidos/INVERSIONES%20SANTA%20FIDELMIRA%20LIMITADA/2025/EEFF/12-2025/EEFF/EEFF/12.2025%20EEFF%20IISF%20LTDA-%20Versi&#243;n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"/>
      <sheetName val="EEFF GESTIÓN S.R"/>
      <sheetName val="MENSUAL 11-2025"/>
      <sheetName val="MENSUAL 04-2025"/>
      <sheetName val="Balance 8 Columnas"/>
      <sheetName val="MENSUAL 12-2025"/>
      <sheetName val="CLASIFICADO"/>
      <sheetName val="BCE ACUMULADO 24"/>
      <sheetName val="ESTADO RESULTADO"/>
      <sheetName val="OBLIGACIONES"/>
      <sheetName val="MENSUAL 01-2025"/>
      <sheetName val="MENSUAL 02-2025"/>
      <sheetName val="MENSUAL 03-2025"/>
      <sheetName val="MENSUAL 05-2025"/>
      <sheetName val="MENSUAL 06-2025"/>
      <sheetName val="MENSUAL 07-2025"/>
      <sheetName val="MENSUAL 08-2025 "/>
      <sheetName val="MENSUAL 09-2025"/>
      <sheetName val="MENSUAL 10-2025"/>
      <sheetName val="Libro Diario"/>
      <sheetName val="Mayor "/>
      <sheetName val="1-1-10-01-001"/>
      <sheetName val="1-1-10-01-002"/>
      <sheetName val="1-1-10-01-003"/>
      <sheetName val="1-1-10-01-004  CAJA CHICA OUTLE"/>
      <sheetName val="1-1-10-01-005  CAJA CHICA LINAR"/>
      <sheetName val="1-1-10-01-006"/>
      <sheetName val="1-1-10-01-006 CAJA CHICA NOTARI"/>
      <sheetName val="1-1-10-01-007  CAJA CHICA SANTI"/>
      <sheetName val="1-1-10-02-001 "/>
      <sheetName val="1-1-10-01-008 CAJA CHICA OFICIN"/>
      <sheetName val="1-1-10-01-009 CAJA CHICA OFIC"/>
      <sheetName val="1-1-10-02-002  BANCO SANTANDER "/>
      <sheetName val="1-1-10-02-004  BANCO CREDITO E "/>
      <sheetName val="1-1-10-02-005  BANCO ITAU"/>
      <sheetName val="1-1-10-02-006  BANCO INTERNACIO"/>
      <sheetName val="1-1-10-02-007  BANCO BCI CHILE "/>
      <sheetName val="1-1-10-02-008 BANCO SANTANDER  "/>
      <sheetName val="1-1-10-02-010 BANCO CHILE"/>
      <sheetName val="1-1-20-01-003  ACCIONES CFINREN"/>
      <sheetName val="1-1-20-01-006  FONDOS MUTUOS BC"/>
      <sheetName val="1-1-20-02-004  DAP BCI USD"/>
      <sheetName val="1-1-20-02-006  DAP INTERNACIONA"/>
      <sheetName val="1-1-20-04-003  PRIME CAPITAL"/>
      <sheetName val="1-1-20-04-004  INVERSIONES FI B"/>
      <sheetName val="1-1-20-04-005  INVERSIONES BTG "/>
      <sheetName val="1-1-20-04-006  BANCHILE CORREDO"/>
      <sheetName val="1-1-20-04-009  ACCIONES BCI COR"/>
      <sheetName val="1-1-20-04-010  INVERSION  NEO-R"/>
      <sheetName val="1-1-20-04-013  FONDO MUTUO BTG "/>
      <sheetName val="1-1-20-05-002  INVERSIONES LOS "/>
      <sheetName val="1-1-20-05-003  INVERSION CAPITA"/>
      <sheetName val="1-1-20-05-007  ACCIONES ISF FLO"/>
      <sheetName val="1-1-20-05-008 INVERSION LIRCAY"/>
      <sheetName val="1-1-20-05-009  INVERSION CHILLA"/>
      <sheetName val="1-1-20-05-011 INV. LAMPA VALLE "/>
      <sheetName val="1-1-20-05-016  INVERSION PRIME "/>
      <sheetName val="1-1-30-01-004  POVISION INGRESO"/>
      <sheetName val="1-1-30-01-005  CLIENTES 2"/>
      <sheetName val="1-1-30-01-006  DEUDORES EN PROC"/>
      <sheetName val="1-1-30-01-007  ESTIMACIÓN DEUDO"/>
      <sheetName val="1-1-30-01-008 CHEQUE EN CARTERA"/>
      <sheetName val="1-1-30-02-005 DOC POR COBRAR"/>
      <sheetName val="1-1-40-01-018  ANTICIPO HONORAR"/>
      <sheetName val="1-1-40-01-009  BOLETAS DE GARAN"/>
      <sheetName val="1-1-40-01-006 CTA CTE PERSONAL"/>
      <sheetName val="1-1-40-01-010  CTA X COBRAR INV"/>
      <sheetName val="1-1-40-01-011  PRESTAMO INVERSI"/>
      <sheetName val="1-1-40-01-012  MUTUOS POR COBR "/>
      <sheetName val="1-1-40-01-013  ANTICIPO PROVEED"/>
      <sheetName val="1-1-40-01-014  CTA X COBRAR ISF"/>
      <sheetName val="1-1-40-01-015  CTA POR COBRAR I"/>
      <sheetName val="1-1-40-01-016  PRESTAMOS A OPER"/>
      <sheetName val="1-1-40-01-017  ANTICIPO PROVEED"/>
      <sheetName val="1-1-40-01-019 CTA X COBRAR ERIC"/>
      <sheetName val="1-1-40-01-021 C X C INVERSIONES"/>
      <sheetName val="1-1-40-01-023 MUTUOS POR COBRAR"/>
      <sheetName val="1-1-40-01-024 MUTUOS POR COBRAR"/>
      <sheetName val="1-1-40-02-002 BOLETA GARANTIA "/>
      <sheetName val="1-1-50-01-005  PAGARE POR COBRA"/>
      <sheetName val="1-1-50-01-006  CTA, POR COBRAR "/>
      <sheetName val="1-1-50-01-007  PAGARES POR COBR"/>
      <sheetName val="1-1-50-01-008  CUENTA POR C"/>
      <sheetName val="1-1-50-01-009  CUENTA POR C"/>
      <sheetName val="1-1-50-01-010  CUENTA POR COBRA"/>
      <sheetName val="1-1-60-01-001  INT. DIF. LEASIN"/>
      <sheetName val="1-1-60-01-002  INT. DIF. LEASIN"/>
      <sheetName val="1-1-60-01-003  INTERES DIF.LEAS"/>
      <sheetName val="1-1-60-01-011  INT.DIF.LEASING "/>
      <sheetName val="1-1-60-01-012  INT.DIF.LEASING "/>
      <sheetName val="1-1-60-01-013  INTERES DIF. LEA"/>
      <sheetName val="1-1-60-01-014  INTERESES DIF VE"/>
      <sheetName val="1-1-60-01-015  INTERESES DIF VE"/>
      <sheetName val="1-1-60-01-016  INTER DIF  HIPOT"/>
      <sheetName val="1-1-60-01-017  INTER DIF HIPOTE"/>
      <sheetName val="1-1-60-01-018  INTERESES DIF IN"/>
      <sheetName val="1-1-60-01-019  INTERESES DIF IN"/>
      <sheetName val="1-1-60-01-020  INTERESES DIF IN"/>
      <sheetName val="1-1-60-01-021 INTERESES DIF INT"/>
      <sheetName val="1-1-70-01-002  PAGOS PROVISIONA"/>
      <sheetName val="1-1-70-01-010  INTER. DIF. LEAS"/>
      <sheetName val="1-1-70-01-011  INTER. DIF. LEAS"/>
      <sheetName val="1-1-70-01-012  INTER. DIF. LEAS"/>
      <sheetName val="1-1-70-01-013  INTER. DIF. LEAS"/>
      <sheetName val="1-1-70-01-014  INTER. DIF. LEAS"/>
      <sheetName val="1-1-70-01-015  INTER. DIF. LEAS"/>
      <sheetName val="1-1-70-01-016  INTER. DIF. LEAS"/>
      <sheetName val="1-1-70-01-017  INTER. DIF. LEAS"/>
      <sheetName val="1-1-70-01-018  INTER. DIF. LEAS"/>
      <sheetName val="1-1-70-01-019  INTER. DIF. HIPO"/>
      <sheetName val="1-1-70-01-020  REMANENTE CR FIS"/>
      <sheetName val="1-1-70-01-021  INTER. DIF. LEAS"/>
      <sheetName val="1-1-70-01-022  INTER. DIF. LEAS"/>
      <sheetName val="1-1-70-01-023  INTER. DIF. LEAS"/>
      <sheetName val="1-1-70-01-024  INTER. DIF. LEAS"/>
      <sheetName val="1-1-70-01-025  INTER. DIF. LEAS"/>
      <sheetName val="1-1-70-01-026  INTER. DIF. LEAS"/>
      <sheetName val="1-1-70-01-027  INTER. DIF. LEAS"/>
      <sheetName val="1-1-70-01-028  INTER. DIF. LEAS"/>
      <sheetName val="1-1-70-01-029  INTER. DIF. LEAS"/>
      <sheetName val="1-1-70-01-031 INTERESES POR COB"/>
      <sheetName val="1-1-70-01-032 INTERESES POR COB"/>
      <sheetName val="1-1-70-01-030  INTER. DIF. HIPO"/>
      <sheetName val="Activo Fijo"/>
      <sheetName val="Activo Fijo Leasing"/>
      <sheetName val="1-3-01-01-001  LICENCIAS DE SOF"/>
      <sheetName val="1-3-01-01-002  MARCAS COMERCIAL"/>
      <sheetName val="1-3-01-02-002  GARANTIAS PAGADA"/>
      <sheetName val="1-3-01-02-003  BOLETA GARANTIAS"/>
      <sheetName val="1-3-04-01-002  RETENCIONES JUDI"/>
      <sheetName val="1-3-05-01-001  EMPRESA RELACION"/>
      <sheetName val="2-1-01-01-009  PRESTAMO  BCO IN"/>
      <sheetName val="2-1-01-01-010  USO LINEA CRÉDIT"/>
      <sheetName val="2-1-01-01-011 USO LINEA CRÉDITO"/>
      <sheetName val="2-1-01-01-013 USO LINEA CRÉDITO"/>
      <sheetName val="2-1-01-01-014  PRESTAMO  BCO IN"/>
      <sheetName val="2-1-01-01-015 USO LINEA CRÉDITO"/>
      <sheetName val="2-1-01-02-001  OBLIG. LEASING 1"/>
      <sheetName val="2-1-01-02-002  OBLIG. LEASING S"/>
      <sheetName val="2-1-01-02-003  OBLIG. LEASING C"/>
      <sheetName val="2-1-01-02-004  OBLIG. LEASING C"/>
      <sheetName val="2-1-01-02-005  OBLIG. LEASING 1"/>
      <sheetName val="2-1-01-02-006  OBLIG. LEASING M"/>
      <sheetName val="2-1-01-02-007  OBLIG. LEASING B"/>
      <sheetName val="2-1-01-02-008  OBLIG. LEASING V"/>
      <sheetName val="2-1-01-02-009  OBLIG. LEASING T"/>
      <sheetName val="2-1-01-02-010  OBLIG. HIPOTECAR"/>
      <sheetName val="2-1-01-02-011  OBLIG.LEASING VA"/>
      <sheetName val="2-1-01-02-012  OBLIG.LEASING CA"/>
      <sheetName val="2-1-01-02-013  OBLIG. LEASING O"/>
      <sheetName val="2-1-01-02-014  OBLIG HIPOTECARI"/>
      <sheetName val="2-1-01-03-002  OBLIG LEASING VE"/>
      <sheetName val="2-1-01-03-140 DEVENGO INTERESES"/>
      <sheetName val="2-1-02-01-004  CUENTA POR PAGAR"/>
      <sheetName val="2-1-02-01-005  MUTUOS POR PAGAR"/>
      <sheetName val="2-1-02-01-009  CUENTA POR PAGAR"/>
      <sheetName val="2-1-02-01-010 CUENTAS POR PAGAR"/>
      <sheetName val="2-1-03-01-001  GARANTIAS CLP"/>
      <sheetName val="2-1-03-01-002 GARANTIAS UF"/>
      <sheetName val="2-1-03-01-008  CTA X PAGAR ISF "/>
      <sheetName val="2-1-03-01-009  BOLETA GARANTIAS"/>
      <sheetName val="2-1-03-02-001  ANTICIPO DE CLIE"/>
      <sheetName val="2-1-03-02-004  ANTICIPO RECIBID"/>
      <sheetName val="2-1-03-02-005  DEVENGO INTERESE"/>
      <sheetName val="2-1-04-01-002  IMPUESTO UNICO"/>
      <sheetName val="2-1-04-01-003  IMPUESTO 2° CATE"/>
      <sheetName val="2-1-04-01-004  IMPUESTOS POR PA"/>
      <sheetName val="2-1-04-01-005  IMPOSICIONES POR"/>
      <sheetName val="2-1-05-01-001 IMPOSICIONES VARI"/>
      <sheetName val="2-1-05-01-003 IMPOSICIONES VACA"/>
      <sheetName val="2-1-06-01-001  PROVEEDORES 2"/>
      <sheetName val="2-1-06-01-002  HONORARIOS POR P"/>
      <sheetName val="2-1-06-01-006  CHEQUES GIRADOS "/>
      <sheetName val="2-2-01-01-002  OBLIGACIONES HIP"/>
      <sheetName val="2-1-06-01-007  SEG COMPLEMENTAR"/>
      <sheetName val="2-2-01-01-004  PRESTAMO  BCO IN"/>
      <sheetName val="2-2-01-01-005 PRESTAMO BCO INTE"/>
      <sheetName val="2-2-01-02-001  OBLIG. LEASING 1"/>
      <sheetName val="2-2-01-02-002  OBLIG. LEASING S"/>
      <sheetName val="2-2-01-02-003  OBLIG. LEASING C"/>
      <sheetName val="2-2-01-02-004  OBLIG. LEASING C"/>
      <sheetName val="2-2-01-02-005  OBLIG. LEASING 1"/>
      <sheetName val="2-2-01-02-006  OBLIG. LEASING M"/>
      <sheetName val="2-2-01-02-007  OBLIG. LEASING B"/>
      <sheetName val="2-2-01-02-008  OBLIG. LEASING V"/>
      <sheetName val="2-2-01-02-009  OBLIG. LEASING T"/>
      <sheetName val="2-2-01-02-010  OBLIG.LEASING  V"/>
      <sheetName val="2-2-01-02-011  OBLIG.LEASING CA"/>
      <sheetName val="2-2-01-02-012  OBLIGAC. LEASING"/>
      <sheetName val="2-2-01-02-013  OBLIG LEASING VE"/>
      <sheetName val="2-2-01-02-014  OBLIG HIPOTECARI"/>
      <sheetName val="2-2-02-01-015  CTA. CTE. ER INM"/>
      <sheetName val="2-2-02-01-020 ACCIONES POR SUSC"/>
      <sheetName val="Patrimonio"/>
    </sheetNames>
    <sheetDataSet>
      <sheetData sheetId="0"/>
      <sheetData sheetId="1">
        <row r="10">
          <cell r="B10" t="str">
            <v>4-1-01-01-001  ARRIENDO FIJO</v>
          </cell>
        </row>
        <row r="11">
          <cell r="B11" t="str">
            <v>4-1-01-01-002  ARRIENDO VARIABLE</v>
          </cell>
        </row>
        <row r="12">
          <cell r="B12" t="str">
            <v>4-1-01-01-005  CONSUMOS DE AGUAS</v>
          </cell>
        </row>
        <row r="13">
          <cell r="B13" t="str">
            <v>4-1-01-01-006  CONSUMOS DE LUZ</v>
          </cell>
        </row>
        <row r="14">
          <cell r="B14" t="str">
            <v>4-1-01-01-007  CONSUMOS DE GAS</v>
          </cell>
        </row>
        <row r="15">
          <cell r="B15" t="str">
            <v>4-1-01-01-008  GASTOS COMUNES</v>
          </cell>
        </row>
        <row r="16">
          <cell r="B16" t="str">
            <v>4-1-01-01-013  VARIOS</v>
          </cell>
        </row>
        <row r="17">
          <cell r="B17" t="str">
            <v>4-1-01-01-015  INGRESO VARIABLE FONDO PROMOCIÓN</v>
          </cell>
        </row>
        <row r="18">
          <cell r="B18" t="str">
            <v>4-1-01-01-016  INGRESOS MULTAS INTERESES LOCATARIOS</v>
          </cell>
        </row>
        <row r="24">
          <cell r="B24" t="str">
            <v>4-1-01-01-011  DEVOLUCION DE CONTRIBUCIONES</v>
          </cell>
        </row>
        <row r="25">
          <cell r="B25" t="str">
            <v>4-2-01-01-003  DIVIDENDOS RIACHUELO</v>
          </cell>
        </row>
        <row r="26">
          <cell r="B26" t="str">
            <v>4-2-01-01-004  INTERESES DAP</v>
          </cell>
        </row>
        <row r="27">
          <cell r="B27" t="str">
            <v>4-2-01-01-005  INTERESES DE PAGARE</v>
          </cell>
        </row>
        <row r="28">
          <cell r="B28" t="str">
            <v>4-2-01-01-006  INTERESES DAP US$ BCI</v>
          </cell>
        </row>
        <row r="29">
          <cell r="B29" t="str">
            <v>4-2-01-01-010  DIVIDENDOS ACCIONARIO BTG</v>
          </cell>
        </row>
        <row r="30">
          <cell r="B30" t="str">
            <v>4-2-01-01-011  DIVIDENDO ASSET SANTANDER</v>
          </cell>
        </row>
        <row r="31">
          <cell r="B31" t="str">
            <v>4-2-01-01-012  DIVIDENDO BCI ASSET</v>
          </cell>
        </row>
        <row r="32">
          <cell r="B32" t="str">
            <v>4-2-01-01-013  DIVIDENDOS BESALCO</v>
          </cell>
        </row>
        <row r="33">
          <cell r="B33" t="str">
            <v>4-2-01-02-008  ARQUITEC Y HABILITACION  LOCALES</v>
          </cell>
        </row>
        <row r="34">
          <cell r="B34" t="str">
            <v>4-2-01-02-009  INGRESOS POR INTERESES MUTUOS EWA</v>
          </cell>
        </row>
        <row r="35">
          <cell r="B35" t="str">
            <v>4-2-01-01-018  DIVIDENDOS ACCIONES EXALMAC1</v>
          </cell>
        </row>
        <row r="44">
          <cell r="B44" t="str">
            <v>5-1-01-10-003  REMUNERACIONES TENS Y RRHH</v>
          </cell>
        </row>
        <row r="45">
          <cell r="B45" t="str">
            <v>5-2-01-01-001  REMUNERACIONES BRUTAS</v>
          </cell>
        </row>
        <row r="46">
          <cell r="B46" t="str">
            <v>5-2-01-01-002  APORTES PATRONALES</v>
          </cell>
        </row>
        <row r="47">
          <cell r="B47" t="str">
            <v>5-2-01-01-003  FINIQUITOS</v>
          </cell>
        </row>
        <row r="48">
          <cell r="B48" t="str">
            <v>5-2-01-01-004  GRATIFICACIONES</v>
          </cell>
        </row>
        <row r="49">
          <cell r="B49" t="str">
            <v>5-2-01-01-005  OTROS  IMPONIBLES</v>
          </cell>
        </row>
        <row r="50">
          <cell r="B50" t="str">
            <v>5-2-01-01-006  OTROS NO IMPONIBLES</v>
          </cell>
        </row>
        <row r="51">
          <cell r="B51" t="str">
            <v>5-2-01-01-008  SEGURO COMPLEMENTARIO SALUD</v>
          </cell>
        </row>
        <row r="52">
          <cell r="B52" t="str">
            <v>5-2-01-01-009  GASTOS VACACIONES</v>
          </cell>
        </row>
        <row r="54">
          <cell r="B54" t="str">
            <v>5-1-01-01-005  ARTICULOS DE SEGURIDAD</v>
          </cell>
        </row>
        <row r="55">
          <cell r="B55" t="str">
            <v>5-1-01-01-001  SERVICIOS DE GUARDIAS</v>
          </cell>
        </row>
        <row r="57">
          <cell r="B57" t="str">
            <v>5-1-01-02-002  INSUMOS BANOS</v>
          </cell>
        </row>
        <row r="58">
          <cell r="B58" t="str">
            <v>5-1-01-02-003  RETIRO BASURA O ESCOMBROS</v>
          </cell>
        </row>
        <row r="59">
          <cell r="B59" t="str">
            <v>5-1-01-02-006  ARTIUCLOS DE ASEO</v>
          </cell>
        </row>
        <row r="60">
          <cell r="B60" t="str">
            <v>5-1-01-05-005  INSUMOS DE ASEO</v>
          </cell>
        </row>
        <row r="61">
          <cell r="B61" t="str">
            <v>5-2-01-02-004  SERVICIOS DE ASEO</v>
          </cell>
        </row>
        <row r="63">
          <cell r="B63" t="str">
            <v>5-1-01-06-001  CONSUMO AGUA COMUN</v>
          </cell>
        </row>
        <row r="64">
          <cell r="B64" t="str">
            <v>5-1-01-06-002  CONSUMO ENERGIA COMUN</v>
          </cell>
        </row>
        <row r="65">
          <cell r="B65" t="str">
            <v>5-1-01-06-003  GASTO COMUN PROPIO</v>
          </cell>
        </row>
        <row r="66">
          <cell r="B66" t="str">
            <v>5-1-01-05-006  COMPRAS PETROLEO GAS BENCINA</v>
          </cell>
        </row>
        <row r="67">
          <cell r="B67" t="str">
            <v>5-1-01-07-001  TELEFONO</v>
          </cell>
        </row>
        <row r="68">
          <cell r="B68" t="str">
            <v>5-1-01-07-002  INTERNET</v>
          </cell>
        </row>
        <row r="70">
          <cell r="B70" t="str">
            <v>5-1-01-03-003  CONTROL DE PLAGAS</v>
          </cell>
        </row>
        <row r="71">
          <cell r="B71" t="str">
            <v>5-1-01-04-001  MANTENCION TRANSPORTE VERTICAL</v>
          </cell>
        </row>
        <row r="72">
          <cell r="B72" t="str">
            <v>5-1-01-04-002  MANTENCION TRANSPORTE VERTICAL CORRECTIVA</v>
          </cell>
        </row>
        <row r="73">
          <cell r="B73" t="str">
            <v>5-1-01-04-003  MANTENCION BOMBAS AP</v>
          </cell>
        </row>
        <row r="74">
          <cell r="B74" t="str">
            <v>5-1-01-04-004  MANTENCION BOMBAS AP CORRECTIVA</v>
          </cell>
        </row>
        <row r="75">
          <cell r="B75" t="str">
            <v>5-1-01-04-005  MANTENCION RED DE INCENDIO</v>
          </cell>
        </row>
        <row r="76">
          <cell r="B76" t="str">
            <v>5-1-01-04-007  MANTENCION CCTV</v>
          </cell>
        </row>
        <row r="77">
          <cell r="B77" t="str">
            <v>5-1-01-04-008  MANTENCION CLIMA</v>
          </cell>
        </row>
        <row r="78">
          <cell r="B78" t="str">
            <v>5-1-01-04-010  MANTENCION ALCANTARILLADOS</v>
          </cell>
        </row>
        <row r="79">
          <cell r="B79" t="str">
            <v>5-1-01-04-011  MANTENCION GENERAL</v>
          </cell>
        </row>
        <row r="80">
          <cell r="B80" t="str">
            <v>5-1-01-04-013  MANTENCION ELECTRICA</v>
          </cell>
        </row>
        <row r="81">
          <cell r="B81" t="str">
            <v>5-1-01-04-014  MANTENCION VEHICULOS</v>
          </cell>
        </row>
        <row r="82">
          <cell r="B82" t="str">
            <v>5-1-01-04-015  MANTENCION GRUPOS ELECTROGENOS CORRECTIVA</v>
          </cell>
        </row>
        <row r="83">
          <cell r="B83" t="str">
            <v>5-1-01-04-017  MANTENCION CLIMA CORRECTIVA</v>
          </cell>
        </row>
        <row r="84">
          <cell r="B84" t="str">
            <v>5-1-01-04-018  MANTENCION ELECTRICA CORRECTIVA</v>
          </cell>
        </row>
        <row r="85">
          <cell r="B85" t="str">
            <v>5-1-01-04-019  MANTENCION CAMARAS DESGRASADORAS</v>
          </cell>
        </row>
        <row r="86">
          <cell r="B86" t="str">
            <v>5-1-01-04-020  MANTENCION PUERTAS AUTOMATICAS</v>
          </cell>
        </row>
        <row r="87">
          <cell r="B87" t="str">
            <v>5-1-01-04-021  MANTENCION PUERTAS AUTOMATICAS CORRECTIVA</v>
          </cell>
        </row>
        <row r="88">
          <cell r="B88" t="str">
            <v>5-1-01-01-002  MANTENCION EXTINTORES</v>
          </cell>
        </row>
        <row r="89">
          <cell r="B89" t="str">
            <v>5-1-01-04-006  MANTENCION GRUPOS ELECTROGENOS</v>
          </cell>
        </row>
        <row r="90">
          <cell r="B90" t="str">
            <v>5-1-01-04-009  MANTENCION ESTANQUES AGUA POTABLE</v>
          </cell>
        </row>
        <row r="91">
          <cell r="B91" t="str">
            <v>5-1-01-04-016  MANTENCION CCTV CORRECTIVA</v>
          </cell>
        </row>
        <row r="92">
          <cell r="B92" t="str">
            <v>5-1-01-03-001  SERVICIOS DE JARDINES Y PAISAJISMO</v>
          </cell>
        </row>
        <row r="93">
          <cell r="B93" t="str">
            <v>5-1-01-03-002  INSUMOS JARDINES</v>
          </cell>
        </row>
        <row r="95">
          <cell r="B95" t="str">
            <v>5-2-01-02-001  HONORARIOS CONTABLES</v>
          </cell>
        </row>
        <row r="96">
          <cell r="B96" t="str">
            <v>5-2-01-02-002  HONORARIOS SERVICIOS LEGALES</v>
          </cell>
        </row>
        <row r="97">
          <cell r="B97" t="str">
            <v>5-2-01-02-003  ASESORIAS Y CONSULTORIAS</v>
          </cell>
        </row>
        <row r="98">
          <cell r="B98" t="str">
            <v>5-2-01-02-011  PAGOS LEGALES Y DEMANDAS</v>
          </cell>
        </row>
        <row r="99">
          <cell r="B99" t="str">
            <v>5-2-01-03-002  GASTOS NOTARIALES</v>
          </cell>
        </row>
        <row r="100">
          <cell r="B100" t="str">
            <v>5-1-01-06-004  SERVICIOS INFORMATICOS DE SISTEMAS</v>
          </cell>
        </row>
        <row r="102">
          <cell r="B102" t="str">
            <v>5-2-01-07-001  CONTRIBUCIONES</v>
          </cell>
        </row>
        <row r="104">
          <cell r="B104" t="str">
            <v>5-2-01-03-003  PATENTES</v>
          </cell>
        </row>
        <row r="105">
          <cell r="B105" t="str">
            <v>5-2-01-07-002  PATENTES</v>
          </cell>
        </row>
        <row r="107">
          <cell r="B107" t="str">
            <v>5-2-01-02-007  SERVICIOS DE PUBLICIDAD Y MARKETING</v>
          </cell>
        </row>
        <row r="108">
          <cell r="B108" t="str">
            <v>5-2-01-02-010  HONORARIOS DE COMERCIALIZACION</v>
          </cell>
        </row>
        <row r="109">
          <cell r="B109" t="str">
            <v>5-1-03-01-001  PROMOCIONES MARKETING</v>
          </cell>
        </row>
        <row r="110">
          <cell r="B110" t="str">
            <v>5-1-03-01-004  PROMOCIONES VARIAS</v>
          </cell>
        </row>
        <row r="112">
          <cell r="B112" t="str">
            <v>5-1-01-08-001  SEGUROS BIENES FISICOS Y RESPONSABILIDAD CIVIL</v>
          </cell>
        </row>
        <row r="114">
          <cell r="B114" t="str">
            <v>5-3-01-02-014  DEUDORES INCOBRABLES</v>
          </cell>
        </row>
        <row r="115">
          <cell r="B115" t="str">
            <v>5-3-01-02-021  CASTIGO CLIENTE NO DOCUMENTADO</v>
          </cell>
        </row>
        <row r="118">
          <cell r="B118" t="str">
            <v>5-3-01-02-003  OTROS EGRESOS</v>
          </cell>
        </row>
        <row r="119">
          <cell r="B119" t="str">
            <v>5-3-01-02-006  GANANCIA (PERDIDA) SWAP</v>
          </cell>
        </row>
        <row r="120">
          <cell r="B120" t="str">
            <v>5-2-01-06-001  ARRIENDOS</v>
          </cell>
        </row>
        <row r="121">
          <cell r="B121" t="str">
            <v>5-1-01-04-022  CERTIFICACIÓN TRANSPORTE VERTICAL</v>
          </cell>
        </row>
        <row r="122">
          <cell r="B122" t="str">
            <v>5-2-01-05-001  GASTOS DE REPRESENTACION</v>
          </cell>
        </row>
        <row r="123">
          <cell r="B123" t="str">
            <v>5-2-01-03-006  GASTOS GENERALES</v>
          </cell>
        </row>
        <row r="124">
          <cell r="B124" t="str">
            <v>5-3-01-02-013  GASTOS VIAJES EXTRANJERO</v>
          </cell>
        </row>
        <row r="125">
          <cell r="B125" t="str">
            <v>5-1-01-07-003  CAJA CHICA</v>
          </cell>
        </row>
        <row r="126">
          <cell r="B126" t="str">
            <v>5-1-01-07-005  ARTICULOS DE OFICINA</v>
          </cell>
        </row>
        <row r="127">
          <cell r="B127" t="str">
            <v>5-1-01-07-006  GASTO FLETES</v>
          </cell>
        </row>
        <row r="128">
          <cell r="B128" t="str">
            <v>5-1-03-01-002  GASTOS VARIOS MALL</v>
          </cell>
        </row>
        <row r="129">
          <cell r="B129" t="str">
            <v>5-1-03-01-005  GASTOS DERECHO AUTOR</v>
          </cell>
        </row>
        <row r="130">
          <cell r="B130" t="str">
            <v>5-1-01-11-001  HABILITACIÓN LOCALES OUTLET FLORIDA</v>
          </cell>
        </row>
        <row r="131">
          <cell r="B131" t="str">
            <v>5-1-01-11-002  HABILITACIÓN LOCALES STRIP FLORIDA</v>
          </cell>
        </row>
        <row r="132">
          <cell r="B132" t="str">
            <v>5-3-01-04-006  DONACION CUERPO DE BOMBEROS LINARES</v>
          </cell>
        </row>
        <row r="133">
          <cell r="B133" t="str">
            <v>5-1-01-11-030  HABILITACIONES GENERALES</v>
          </cell>
        </row>
        <row r="134">
          <cell r="B134" t="str">
            <v>5-3-01-02-020  COSTO MANDATO INVERSIONES NUEVA SANTA FIDELMIRA LIMITADA</v>
          </cell>
        </row>
        <row r="135">
          <cell r="B135" t="str">
            <v>5-2-01-02-005  SERVICIOS DE ARQUITECTURA</v>
          </cell>
        </row>
        <row r="148">
          <cell r="B148" t="str">
            <v>5-3-01-01-001  INTERESES LEASING</v>
          </cell>
        </row>
        <row r="149">
          <cell r="B149" t="str">
            <v>5-3-01-01-002  GASTOS BANCARIOS</v>
          </cell>
        </row>
        <row r="150">
          <cell r="B150" t="str">
            <v>5-3-01-01-003  MULTAS INTERESES Y REAJUSTES</v>
          </cell>
        </row>
        <row r="152">
          <cell r="B152" t="str">
            <v>5-3-01-01-005  GASTOS E INTERESES COMERCIALES</v>
          </cell>
        </row>
        <row r="153">
          <cell r="B153" t="str">
            <v>5-3-01-02-004  GASTOS FUERA DEL GIRO</v>
          </cell>
        </row>
        <row r="154">
          <cell r="B154" t="str">
            <v>5-3-01-02-007  MAYOR / MENOR VALOR DE INVERSIONES</v>
          </cell>
        </row>
        <row r="155">
          <cell r="B155" t="str">
            <v>5-3-01-02-009  COSTO VENTA ACTIVO FIJO</v>
          </cell>
        </row>
        <row r="156">
          <cell r="B156" t="str">
            <v>5-3-01-02-012  OTROS GASTOS DEL EXTRANJERO</v>
          </cell>
        </row>
        <row r="157">
          <cell r="B157" t="str">
            <v>5-3-01-04-003  IMPUESTOS VARIOS</v>
          </cell>
        </row>
      </sheetData>
      <sheetData sheetId="2">
        <row r="1">
          <cell r="A1" t="str">
            <v>INVERSIONES SANTA FIDELMIRA LIMITADA</v>
          </cell>
          <cell r="B1"/>
          <cell r="C1"/>
          <cell r="D1"/>
          <cell r="E1"/>
          <cell r="F1"/>
          <cell r="G1"/>
          <cell r="H1"/>
          <cell r="I1"/>
        </row>
        <row r="2">
          <cell r="A2" t="str">
            <v>ARRIENDO, EXPLOTACION  BIENES INMUEBLES</v>
          </cell>
          <cell r="B2"/>
          <cell r="C2"/>
          <cell r="D2"/>
          <cell r="E2"/>
          <cell r="F2"/>
          <cell r="G2"/>
          <cell r="H2"/>
          <cell r="I2"/>
        </row>
        <row r="3">
          <cell r="A3" t="str">
            <v>MAIPU #599</v>
          </cell>
          <cell r="B3"/>
          <cell r="C3"/>
          <cell r="D3"/>
          <cell r="E3"/>
          <cell r="F3"/>
          <cell r="G3"/>
          <cell r="H3"/>
          <cell r="I3"/>
        </row>
        <row r="4">
          <cell r="A4" t="str">
            <v>LINARES</v>
          </cell>
          <cell r="B4"/>
          <cell r="C4"/>
          <cell r="D4"/>
          <cell r="E4"/>
          <cell r="F4"/>
          <cell r="G4"/>
          <cell r="H4"/>
          <cell r="I4"/>
        </row>
        <row r="5">
          <cell r="A5" t="str">
            <v>LINARES</v>
          </cell>
          <cell r="B5"/>
          <cell r="C5"/>
          <cell r="D5"/>
          <cell r="E5"/>
          <cell r="F5"/>
          <cell r="G5"/>
          <cell r="H5"/>
          <cell r="I5"/>
        </row>
        <row r="6">
          <cell r="A6" t="str">
            <v>79.991.280-5</v>
          </cell>
          <cell r="B6"/>
          <cell r="C6"/>
          <cell r="D6"/>
          <cell r="E6"/>
          <cell r="F6"/>
          <cell r="G6"/>
          <cell r="H6" t="str">
            <v>Fecha :</v>
          </cell>
          <cell r="I6" t="str">
            <v>31/12/2025</v>
          </cell>
        </row>
        <row r="8">
          <cell r="A8" t="str">
            <v>Balance Tributario</v>
          </cell>
          <cell r="B8"/>
          <cell r="C8"/>
          <cell r="D8"/>
          <cell r="E8"/>
          <cell r="F8"/>
          <cell r="G8"/>
          <cell r="H8"/>
          <cell r="I8"/>
        </row>
        <row r="9">
          <cell r="A9" t="str">
            <v xml:space="preserve"> Desde :Noviembre/2025</v>
          </cell>
          <cell r="B9"/>
          <cell r="C9"/>
          <cell r="D9"/>
          <cell r="E9"/>
          <cell r="F9"/>
          <cell r="G9"/>
          <cell r="H9"/>
          <cell r="I9"/>
        </row>
        <row r="10">
          <cell r="A10" t="str">
            <v xml:space="preserve"> Hasta :Noviembre/2025</v>
          </cell>
          <cell r="B10"/>
          <cell r="C10"/>
          <cell r="D10"/>
          <cell r="E10"/>
          <cell r="F10"/>
          <cell r="G10"/>
          <cell r="H10"/>
          <cell r="I10"/>
        </row>
        <row r="12">
          <cell r="A12" t="str">
            <v>Cuenta Contable</v>
          </cell>
          <cell r="B12" t="str">
            <v>Valores Acumulados</v>
          </cell>
          <cell r="C12"/>
          <cell r="D12" t="str">
            <v>Saldos</v>
          </cell>
          <cell r="E12"/>
          <cell r="F12" t="str">
            <v>Inventario</v>
          </cell>
          <cell r="G12"/>
          <cell r="H12" t="str">
            <v>Resultados</v>
          </cell>
          <cell r="I12"/>
        </row>
        <row r="13">
          <cell r="A13"/>
          <cell r="B13" t="str">
            <v>Débitos</v>
          </cell>
          <cell r="C13" t="str">
            <v>Créditos</v>
          </cell>
          <cell r="D13" t="str">
            <v>Deudor</v>
          </cell>
          <cell r="E13" t="str">
            <v>Acreedor</v>
          </cell>
          <cell r="F13" t="str">
            <v>Activo</v>
          </cell>
          <cell r="G13" t="str">
            <v>Pasivo</v>
          </cell>
          <cell r="H13" t="str">
            <v>Pérdida</v>
          </cell>
          <cell r="I13" t="str">
            <v>Ganancia</v>
          </cell>
        </row>
        <row r="14">
          <cell r="A14" t="str">
            <v>1-1-10-01-004  CAJA CHICA OUTLET TALCA</v>
          </cell>
          <cell r="B14">
            <v>3000000</v>
          </cell>
          <cell r="C14">
            <v>5137140</v>
          </cell>
          <cell r="D14">
            <v>0</v>
          </cell>
          <cell r="E14">
            <v>2137140</v>
          </cell>
          <cell r="F14">
            <v>0</v>
          </cell>
          <cell r="G14">
            <v>2137140</v>
          </cell>
          <cell r="H14">
            <v>0</v>
          </cell>
          <cell r="I14">
            <v>0</v>
          </cell>
          <cell r="J14">
            <v>-2137140</v>
          </cell>
        </row>
        <row r="15">
          <cell r="A15" t="str">
            <v>1-1-10-01-005  CAJA CHICA LINARES</v>
          </cell>
          <cell r="B15">
            <v>836760</v>
          </cell>
          <cell r="C15">
            <v>836763</v>
          </cell>
          <cell r="D15">
            <v>0</v>
          </cell>
          <cell r="E15">
            <v>3</v>
          </cell>
          <cell r="F15">
            <v>0</v>
          </cell>
          <cell r="G15">
            <v>3</v>
          </cell>
          <cell r="H15">
            <v>0</v>
          </cell>
          <cell r="I15">
            <v>0</v>
          </cell>
          <cell r="J15">
            <v>-3</v>
          </cell>
        </row>
        <row r="16">
          <cell r="A16" t="str">
            <v>1-1-10-01-007  CAJA CHICA SANTIAGO</v>
          </cell>
          <cell r="B16">
            <v>488966</v>
          </cell>
          <cell r="C16">
            <v>304005</v>
          </cell>
          <cell r="D16">
            <v>184961</v>
          </cell>
          <cell r="E16">
            <v>0</v>
          </cell>
          <cell r="F16">
            <v>184961</v>
          </cell>
          <cell r="G16">
            <v>0</v>
          </cell>
          <cell r="H16">
            <v>0</v>
          </cell>
          <cell r="I16">
            <v>0</v>
          </cell>
          <cell r="J16">
            <v>184961</v>
          </cell>
        </row>
        <row r="17">
          <cell r="A17" t="str">
            <v>1-1-10-01-008  CAJA CHICA OFICINAS SANTIAGO</v>
          </cell>
          <cell r="B17">
            <v>2500000</v>
          </cell>
          <cell r="C17">
            <v>3607876</v>
          </cell>
          <cell r="D17">
            <v>0</v>
          </cell>
          <cell r="E17">
            <v>1107876</v>
          </cell>
          <cell r="F17">
            <v>0</v>
          </cell>
          <cell r="G17">
            <v>1107876</v>
          </cell>
          <cell r="H17">
            <v>0</v>
          </cell>
          <cell r="I17">
            <v>0</v>
          </cell>
          <cell r="J17">
            <v>-1107876</v>
          </cell>
        </row>
        <row r="18">
          <cell r="A18" t="str">
            <v>1-1-10-01-009  CAJA CHICA OFICINA GERENCIAL</v>
          </cell>
          <cell r="B18">
            <v>1500000</v>
          </cell>
          <cell r="C18">
            <v>1080216</v>
          </cell>
          <cell r="D18">
            <v>419784</v>
          </cell>
          <cell r="E18">
            <v>0</v>
          </cell>
          <cell r="F18">
            <v>419784</v>
          </cell>
          <cell r="G18">
            <v>0</v>
          </cell>
          <cell r="H18">
            <v>0</v>
          </cell>
          <cell r="I18">
            <v>0</v>
          </cell>
          <cell r="J18">
            <v>419784</v>
          </cell>
        </row>
        <row r="19">
          <cell r="A19" t="str">
            <v>1-1-10-02-002  BANCO SANTANDER 25996240</v>
          </cell>
          <cell r="B19">
            <v>1641885038</v>
          </cell>
          <cell r="C19">
            <v>1641885038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1-1-10-02-004  BANCO CREDITO E INVERSIONES</v>
          </cell>
          <cell r="B20">
            <v>555522907</v>
          </cell>
          <cell r="C20">
            <v>564091046</v>
          </cell>
          <cell r="D20">
            <v>0</v>
          </cell>
          <cell r="E20">
            <v>8568139</v>
          </cell>
          <cell r="F20">
            <v>0</v>
          </cell>
          <cell r="G20">
            <v>8568139</v>
          </cell>
          <cell r="H20">
            <v>0</v>
          </cell>
          <cell r="I20">
            <v>0</v>
          </cell>
          <cell r="J20">
            <v>-8568139</v>
          </cell>
        </row>
        <row r="21">
          <cell r="A21" t="str">
            <v>1-1-10-02-005  BANCO ITAU</v>
          </cell>
          <cell r="B21">
            <v>477943491</v>
          </cell>
          <cell r="C21">
            <v>468872143</v>
          </cell>
          <cell r="D21">
            <v>9071348</v>
          </cell>
          <cell r="E21">
            <v>0</v>
          </cell>
          <cell r="F21">
            <v>9071348</v>
          </cell>
          <cell r="G21">
            <v>0</v>
          </cell>
          <cell r="H21">
            <v>0</v>
          </cell>
          <cell r="I21">
            <v>0</v>
          </cell>
          <cell r="J21">
            <v>9071348</v>
          </cell>
        </row>
        <row r="22">
          <cell r="A22" t="str">
            <v>1-1-10-02-006  BANCO INTERNACIONAL</v>
          </cell>
          <cell r="B22">
            <v>846723349</v>
          </cell>
          <cell r="C22">
            <v>144956539</v>
          </cell>
          <cell r="D22">
            <v>701766810</v>
          </cell>
          <cell r="E22">
            <v>0</v>
          </cell>
          <cell r="F22">
            <v>701766810</v>
          </cell>
          <cell r="G22">
            <v>0</v>
          </cell>
          <cell r="H22">
            <v>0</v>
          </cell>
          <cell r="I22">
            <v>0</v>
          </cell>
          <cell r="J22">
            <v>701766810</v>
          </cell>
        </row>
        <row r="23">
          <cell r="A23" t="str">
            <v>1-1-10-02-007  BANCO BCI CHILE DOLARES</v>
          </cell>
          <cell r="B23">
            <v>22321364</v>
          </cell>
          <cell r="C23">
            <v>1270858</v>
          </cell>
          <cell r="D23">
            <v>21050506</v>
          </cell>
          <cell r="E23">
            <v>0</v>
          </cell>
          <cell r="F23">
            <v>21050506</v>
          </cell>
          <cell r="G23">
            <v>0</v>
          </cell>
          <cell r="H23">
            <v>0</v>
          </cell>
          <cell r="I23">
            <v>0</v>
          </cell>
          <cell r="J23">
            <v>21050506</v>
          </cell>
        </row>
        <row r="24">
          <cell r="A24" t="str">
            <v>1-1-20-01-003  ACCIONES CFINRENTAS BANCO SANTANDER</v>
          </cell>
          <cell r="B24">
            <v>51012631</v>
          </cell>
          <cell r="C24">
            <v>0</v>
          </cell>
          <cell r="D24">
            <v>51012631</v>
          </cell>
          <cell r="E24">
            <v>0</v>
          </cell>
          <cell r="F24">
            <v>51012631</v>
          </cell>
          <cell r="G24">
            <v>0</v>
          </cell>
          <cell r="H24">
            <v>0</v>
          </cell>
          <cell r="I24">
            <v>0</v>
          </cell>
          <cell r="J24">
            <v>51012631</v>
          </cell>
        </row>
        <row r="25">
          <cell r="A25" t="str">
            <v>1-1-20-01-006  FONDOS MUTUOS BCI PESOS</v>
          </cell>
          <cell r="B25">
            <v>365737</v>
          </cell>
          <cell r="C25">
            <v>0</v>
          </cell>
          <cell r="D25">
            <v>365737</v>
          </cell>
          <cell r="E25">
            <v>0</v>
          </cell>
          <cell r="F25">
            <v>365737</v>
          </cell>
          <cell r="G25">
            <v>0</v>
          </cell>
          <cell r="H25">
            <v>0</v>
          </cell>
          <cell r="I25">
            <v>0</v>
          </cell>
          <cell r="J25">
            <v>365737</v>
          </cell>
        </row>
        <row r="26">
          <cell r="A26" t="str">
            <v>1-1-20-02-004  DAP BCI USD</v>
          </cell>
          <cell r="B26">
            <v>0</v>
          </cell>
          <cell r="C26">
            <v>1578209</v>
          </cell>
          <cell r="D26">
            <v>0</v>
          </cell>
          <cell r="E26">
            <v>1578209</v>
          </cell>
          <cell r="F26">
            <v>0</v>
          </cell>
          <cell r="G26">
            <v>1578209</v>
          </cell>
          <cell r="H26">
            <v>0</v>
          </cell>
          <cell r="I26">
            <v>0</v>
          </cell>
          <cell r="J26">
            <v>-1578209</v>
          </cell>
        </row>
        <row r="27">
          <cell r="A27" t="str">
            <v>1-1-20-02-006  DEPOSITOS A PLAZO BCO INTERNACIONAL</v>
          </cell>
          <cell r="B27">
            <v>2528598</v>
          </cell>
          <cell r="C27">
            <v>801814352</v>
          </cell>
          <cell r="D27">
            <v>0</v>
          </cell>
          <cell r="E27">
            <v>799285754</v>
          </cell>
          <cell r="F27">
            <v>0</v>
          </cell>
          <cell r="G27">
            <v>799285754</v>
          </cell>
          <cell r="H27">
            <v>0</v>
          </cell>
          <cell r="I27">
            <v>0</v>
          </cell>
          <cell r="J27">
            <v>-799285754</v>
          </cell>
        </row>
        <row r="28">
          <cell r="A28" t="str">
            <v>1-1-20-04-004  INVERSIONES FI BTG PACTUAL RENTAS EN PESOS</v>
          </cell>
          <cell r="B28">
            <v>21896000</v>
          </cell>
          <cell r="C28">
            <v>0</v>
          </cell>
          <cell r="D28">
            <v>21896000</v>
          </cell>
          <cell r="E28">
            <v>0</v>
          </cell>
          <cell r="F28">
            <v>21896000</v>
          </cell>
          <cell r="G28">
            <v>0</v>
          </cell>
          <cell r="H28">
            <v>0</v>
          </cell>
          <cell r="I28">
            <v>0</v>
          </cell>
          <cell r="J28">
            <v>21896000</v>
          </cell>
        </row>
        <row r="29">
          <cell r="A29" t="str">
            <v>1-1-20-04-005  INVERSIONES BTG FONDO MINING EN DOLARES</v>
          </cell>
          <cell r="B29">
            <v>0</v>
          </cell>
          <cell r="C29">
            <v>29</v>
          </cell>
          <cell r="D29">
            <v>0</v>
          </cell>
          <cell r="E29">
            <v>29</v>
          </cell>
          <cell r="F29">
            <v>0</v>
          </cell>
          <cell r="G29">
            <v>29</v>
          </cell>
          <cell r="H29">
            <v>0</v>
          </cell>
          <cell r="I29">
            <v>0</v>
          </cell>
          <cell r="J29">
            <v>-29</v>
          </cell>
        </row>
        <row r="30">
          <cell r="A30" t="str">
            <v>1-1-20-04-006  BANCHILE CORREDORES DE BOLSA DOLARES</v>
          </cell>
          <cell r="B30">
            <v>7058</v>
          </cell>
          <cell r="C30">
            <v>0</v>
          </cell>
          <cell r="D30">
            <v>7058</v>
          </cell>
          <cell r="E30">
            <v>0</v>
          </cell>
          <cell r="F30">
            <v>7058</v>
          </cell>
          <cell r="G30">
            <v>0</v>
          </cell>
          <cell r="H30">
            <v>0</v>
          </cell>
          <cell r="I30">
            <v>0</v>
          </cell>
          <cell r="J30">
            <v>7058</v>
          </cell>
        </row>
        <row r="31">
          <cell r="A31" t="str">
            <v>1-1-20-04-009  ACCIONES BCI CORREDOR BOLSA</v>
          </cell>
          <cell r="B31">
            <v>20659376</v>
          </cell>
          <cell r="C31">
            <v>124163064</v>
          </cell>
          <cell r="D31">
            <v>0</v>
          </cell>
          <cell r="E31">
            <v>103503688</v>
          </cell>
          <cell r="F31">
            <v>0</v>
          </cell>
          <cell r="G31">
            <v>103503688</v>
          </cell>
          <cell r="H31">
            <v>0</v>
          </cell>
          <cell r="I31">
            <v>0</v>
          </cell>
          <cell r="J31">
            <v>-103503688</v>
          </cell>
        </row>
        <row r="32">
          <cell r="A32" t="str">
            <v>1-1-20-04-010  INVERSION  NEO-RENTAS ADM.</v>
          </cell>
          <cell r="B32">
            <v>4118902</v>
          </cell>
          <cell r="C32">
            <v>0</v>
          </cell>
          <cell r="D32">
            <v>4118902</v>
          </cell>
          <cell r="E32">
            <v>0</v>
          </cell>
          <cell r="F32">
            <v>4118902</v>
          </cell>
          <cell r="G32">
            <v>0</v>
          </cell>
          <cell r="H32">
            <v>0</v>
          </cell>
          <cell r="I32">
            <v>0</v>
          </cell>
          <cell r="J32">
            <v>4118902</v>
          </cell>
        </row>
        <row r="33">
          <cell r="A33" t="str">
            <v>1-1-20-04-013  FONDO MUTUO BTG MONEY MARKET PESOS</v>
          </cell>
          <cell r="B33">
            <v>8034701</v>
          </cell>
          <cell r="C33">
            <v>0</v>
          </cell>
          <cell r="D33">
            <v>8034701</v>
          </cell>
          <cell r="E33">
            <v>0</v>
          </cell>
          <cell r="F33">
            <v>8034701</v>
          </cell>
          <cell r="G33">
            <v>0</v>
          </cell>
          <cell r="H33">
            <v>0</v>
          </cell>
          <cell r="I33">
            <v>0</v>
          </cell>
          <cell r="J33">
            <v>8034701</v>
          </cell>
        </row>
        <row r="34">
          <cell r="A34" t="str">
            <v>1-1-30-01-004  POVISION INGRESOS</v>
          </cell>
          <cell r="B34">
            <v>195052008</v>
          </cell>
          <cell r="C34">
            <v>192745260</v>
          </cell>
          <cell r="D34">
            <v>2306748</v>
          </cell>
          <cell r="E34">
            <v>0</v>
          </cell>
          <cell r="F34">
            <v>2306748</v>
          </cell>
          <cell r="G34">
            <v>0</v>
          </cell>
          <cell r="H34">
            <v>0</v>
          </cell>
          <cell r="I34">
            <v>0</v>
          </cell>
          <cell r="J34">
            <v>2306748</v>
          </cell>
        </row>
        <row r="35">
          <cell r="A35" t="str">
            <v>1-1-30-01-005  CLIENTES 2</v>
          </cell>
          <cell r="B35">
            <v>1310574325</v>
          </cell>
          <cell r="C35">
            <v>1380531352</v>
          </cell>
          <cell r="D35">
            <v>0</v>
          </cell>
          <cell r="E35">
            <v>69957027</v>
          </cell>
          <cell r="F35">
            <v>0</v>
          </cell>
          <cell r="G35">
            <v>69957027</v>
          </cell>
          <cell r="H35">
            <v>0</v>
          </cell>
          <cell r="I35">
            <v>0</v>
          </cell>
          <cell r="J35">
            <v>-69957027</v>
          </cell>
        </row>
        <row r="36">
          <cell r="A36" t="str">
            <v>1-1-30-01-006  DEUDORES EN PROCESO CASTIGO</v>
          </cell>
          <cell r="B36">
            <v>0</v>
          </cell>
          <cell r="C36">
            <v>10200155</v>
          </cell>
          <cell r="D36">
            <v>0</v>
          </cell>
          <cell r="E36">
            <v>10200155</v>
          </cell>
          <cell r="F36">
            <v>0</v>
          </cell>
          <cell r="G36">
            <v>10200155</v>
          </cell>
          <cell r="H36">
            <v>0</v>
          </cell>
          <cell r="I36">
            <v>0</v>
          </cell>
          <cell r="J36">
            <v>-10200155</v>
          </cell>
        </row>
        <row r="37">
          <cell r="A37" t="str">
            <v>1-1-30-01-008  CHEQUE EN CARTERAS (PLAN DE PAGO CLIENTES)</v>
          </cell>
          <cell r="B37">
            <v>18383816</v>
          </cell>
          <cell r="C37">
            <v>8366762</v>
          </cell>
          <cell r="D37">
            <v>10017054</v>
          </cell>
          <cell r="E37">
            <v>0</v>
          </cell>
          <cell r="F37">
            <v>10017054</v>
          </cell>
          <cell r="G37">
            <v>0</v>
          </cell>
          <cell r="H37">
            <v>0</v>
          </cell>
          <cell r="I37">
            <v>0</v>
          </cell>
          <cell r="J37">
            <v>10017054</v>
          </cell>
        </row>
        <row r="38">
          <cell r="A38" t="str">
            <v>1-1-40-01-006  CTA.CTE. AL PERSONAL</v>
          </cell>
          <cell r="B38">
            <v>0</v>
          </cell>
          <cell r="C38">
            <v>200000</v>
          </cell>
          <cell r="D38">
            <v>0</v>
          </cell>
          <cell r="E38">
            <v>200000</v>
          </cell>
          <cell r="F38">
            <v>0</v>
          </cell>
          <cell r="G38">
            <v>200000</v>
          </cell>
          <cell r="H38">
            <v>0</v>
          </cell>
          <cell r="I38">
            <v>0</v>
          </cell>
          <cell r="J38">
            <v>-200000</v>
          </cell>
        </row>
        <row r="39">
          <cell r="A39" t="str">
            <v>1-1-40-01-010  CTA X COBRAR INV.PRIME CAPITAL INTERNACIONAL (EX SEGOVIA SA)</v>
          </cell>
          <cell r="B39">
            <v>0</v>
          </cell>
          <cell r="C39">
            <v>22439750</v>
          </cell>
          <cell r="D39">
            <v>0</v>
          </cell>
          <cell r="E39">
            <v>22439750</v>
          </cell>
          <cell r="F39">
            <v>0</v>
          </cell>
          <cell r="G39">
            <v>22439750</v>
          </cell>
          <cell r="H39">
            <v>0</v>
          </cell>
          <cell r="I39">
            <v>0</v>
          </cell>
          <cell r="J39">
            <v>-22439750</v>
          </cell>
        </row>
        <row r="40">
          <cell r="A40" t="str">
            <v>1-1-40-01-011  PRESTAMO INVERSIONES GRAN DESIERTO</v>
          </cell>
          <cell r="B40">
            <v>1193719</v>
          </cell>
          <cell r="C40">
            <v>0</v>
          </cell>
          <cell r="D40">
            <v>1193719</v>
          </cell>
          <cell r="E40">
            <v>0</v>
          </cell>
          <cell r="F40">
            <v>1193719</v>
          </cell>
          <cell r="G40">
            <v>0</v>
          </cell>
          <cell r="H40">
            <v>0</v>
          </cell>
          <cell r="I40">
            <v>0</v>
          </cell>
          <cell r="J40">
            <v>1193719</v>
          </cell>
        </row>
        <row r="41">
          <cell r="A41" t="str">
            <v>1-1-40-01-012  MUTUOS POR COBRAR</v>
          </cell>
          <cell r="B41">
            <v>304619</v>
          </cell>
          <cell r="C41">
            <v>0</v>
          </cell>
          <cell r="D41">
            <v>304619</v>
          </cell>
          <cell r="E41">
            <v>0</v>
          </cell>
          <cell r="F41">
            <v>304619</v>
          </cell>
          <cell r="G41">
            <v>0</v>
          </cell>
          <cell r="H41">
            <v>0</v>
          </cell>
          <cell r="I41">
            <v>0</v>
          </cell>
          <cell r="J41">
            <v>304619</v>
          </cell>
        </row>
        <row r="42">
          <cell r="A42" t="str">
            <v>1-1-40-01-014  CTA X COBRAR ISF DOLAR</v>
          </cell>
          <cell r="B42">
            <v>0</v>
          </cell>
          <cell r="C42">
            <v>73683364</v>
          </cell>
          <cell r="D42">
            <v>0</v>
          </cell>
          <cell r="E42">
            <v>73683364</v>
          </cell>
          <cell r="F42">
            <v>0</v>
          </cell>
          <cell r="G42">
            <v>73683364</v>
          </cell>
          <cell r="H42">
            <v>0</v>
          </cell>
          <cell r="I42">
            <v>0</v>
          </cell>
          <cell r="J42">
            <v>-73683364</v>
          </cell>
        </row>
        <row r="43">
          <cell r="A43" t="str">
            <v>1-1-40-01-017  ANTICIPO PROVEEDOR 3</v>
          </cell>
          <cell r="B43">
            <v>287724693</v>
          </cell>
          <cell r="C43">
            <v>263733541</v>
          </cell>
          <cell r="D43">
            <v>23991152</v>
          </cell>
          <cell r="E43">
            <v>0</v>
          </cell>
          <cell r="F43">
            <v>23991152</v>
          </cell>
          <cell r="G43">
            <v>0</v>
          </cell>
          <cell r="H43">
            <v>0</v>
          </cell>
          <cell r="I43">
            <v>0</v>
          </cell>
          <cell r="J43">
            <v>23991152</v>
          </cell>
        </row>
        <row r="44">
          <cell r="A44" t="str">
            <v>1-1-40-01-018  ANTICIPO HONORARIOS 3</v>
          </cell>
          <cell r="B44">
            <v>0</v>
          </cell>
          <cell r="C44">
            <v>26000</v>
          </cell>
          <cell r="D44">
            <v>0</v>
          </cell>
          <cell r="E44">
            <v>26000</v>
          </cell>
          <cell r="F44">
            <v>0</v>
          </cell>
          <cell r="G44">
            <v>26000</v>
          </cell>
          <cell r="H44">
            <v>0</v>
          </cell>
          <cell r="I44">
            <v>0</v>
          </cell>
          <cell r="J44">
            <v>-26000</v>
          </cell>
        </row>
        <row r="45">
          <cell r="A45" t="str">
            <v>1-1-40-01-020  ANTICIPO SUELDO (2)</v>
          </cell>
          <cell r="B45">
            <v>5500000</v>
          </cell>
          <cell r="C45">
            <v>5500000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A46" t="str">
            <v>1-1-40-01-024  MUTUOS POR COBRAR INVERSIONES EWA</v>
          </cell>
          <cell r="B46">
            <v>100232485</v>
          </cell>
          <cell r="C46">
            <v>0</v>
          </cell>
          <cell r="D46">
            <v>100232485</v>
          </cell>
          <cell r="E46">
            <v>0</v>
          </cell>
          <cell r="F46">
            <v>100232485</v>
          </cell>
          <cell r="G46">
            <v>0</v>
          </cell>
          <cell r="H46">
            <v>0</v>
          </cell>
          <cell r="I46">
            <v>0</v>
          </cell>
          <cell r="J46">
            <v>100232485</v>
          </cell>
        </row>
        <row r="47">
          <cell r="A47" t="str">
            <v>1-1-50-01-005  PAGARE POR COBRAR DOLE</v>
          </cell>
          <cell r="B47">
            <v>254905</v>
          </cell>
          <cell r="C47">
            <v>4843934</v>
          </cell>
          <cell r="D47">
            <v>0</v>
          </cell>
          <cell r="E47">
            <v>4589029</v>
          </cell>
          <cell r="F47">
            <v>0</v>
          </cell>
          <cell r="G47">
            <v>4589029</v>
          </cell>
          <cell r="H47">
            <v>0</v>
          </cell>
          <cell r="I47">
            <v>0</v>
          </cell>
          <cell r="J47">
            <v>-4589029</v>
          </cell>
        </row>
        <row r="48">
          <cell r="A48" t="str">
            <v>1-1-50-01-006  CTA, POR COBRAR DINAMITY</v>
          </cell>
          <cell r="B48">
            <v>35267444</v>
          </cell>
          <cell r="C48">
            <v>0</v>
          </cell>
          <cell r="D48">
            <v>35267444</v>
          </cell>
          <cell r="E48">
            <v>0</v>
          </cell>
          <cell r="F48">
            <v>35267444</v>
          </cell>
          <cell r="G48">
            <v>0</v>
          </cell>
          <cell r="H48">
            <v>0</v>
          </cell>
          <cell r="I48">
            <v>0</v>
          </cell>
          <cell r="J48">
            <v>35267444</v>
          </cell>
        </row>
        <row r="49">
          <cell r="A49" t="str">
            <v>1-1-50-01-007  PAGARES POR COBRAR INMOBILIARIA CUATRO</v>
          </cell>
          <cell r="B49">
            <v>81374</v>
          </cell>
          <cell r="C49">
            <v>3744733</v>
          </cell>
          <cell r="D49">
            <v>0</v>
          </cell>
          <cell r="E49">
            <v>3663359</v>
          </cell>
          <cell r="F49">
            <v>0</v>
          </cell>
          <cell r="G49">
            <v>3663359</v>
          </cell>
          <cell r="H49">
            <v>0</v>
          </cell>
          <cell r="I49">
            <v>0</v>
          </cell>
          <cell r="J49">
            <v>-3663359</v>
          </cell>
        </row>
        <row r="50">
          <cell r="A50" t="str">
            <v>1-1-50-01-008  CUENTA POR COBRAR INMOB VALDEPEÑAS SPA</v>
          </cell>
          <cell r="B50">
            <v>4605626</v>
          </cell>
          <cell r="C50">
            <v>0</v>
          </cell>
          <cell r="D50">
            <v>4605626</v>
          </cell>
          <cell r="E50">
            <v>0</v>
          </cell>
          <cell r="F50">
            <v>4605626</v>
          </cell>
          <cell r="G50">
            <v>0</v>
          </cell>
          <cell r="H50">
            <v>0</v>
          </cell>
          <cell r="I50">
            <v>0</v>
          </cell>
          <cell r="J50">
            <v>4605626</v>
          </cell>
        </row>
        <row r="51">
          <cell r="A51" t="str">
            <v>1-1-50-01-009  CUENTA POR COBRAR INMOB LIRCAY SPA</v>
          </cell>
          <cell r="B51">
            <v>2649011</v>
          </cell>
          <cell r="C51">
            <v>0</v>
          </cell>
          <cell r="D51">
            <v>2649011</v>
          </cell>
          <cell r="E51">
            <v>0</v>
          </cell>
          <cell r="F51">
            <v>2649011</v>
          </cell>
          <cell r="G51">
            <v>0</v>
          </cell>
          <cell r="H51">
            <v>0</v>
          </cell>
          <cell r="I51">
            <v>0</v>
          </cell>
          <cell r="J51">
            <v>2649011</v>
          </cell>
        </row>
        <row r="52">
          <cell r="A52" t="str">
            <v>1-1-60-01-001  INT. DIF. LEASING VALPO- C/P</v>
          </cell>
          <cell r="B52">
            <v>0</v>
          </cell>
          <cell r="C52">
            <v>284450</v>
          </cell>
          <cell r="D52">
            <v>0</v>
          </cell>
          <cell r="E52">
            <v>284450</v>
          </cell>
          <cell r="F52">
            <v>0</v>
          </cell>
          <cell r="G52">
            <v>284450</v>
          </cell>
          <cell r="H52">
            <v>0</v>
          </cell>
          <cell r="I52">
            <v>0</v>
          </cell>
          <cell r="J52">
            <v>-284450</v>
          </cell>
        </row>
        <row r="53">
          <cell r="A53" t="str">
            <v>1-1-60-01-002  INT. DIF. LEASING CAUQUENES C/P</v>
          </cell>
          <cell r="B53">
            <v>0</v>
          </cell>
          <cell r="C53">
            <v>223325</v>
          </cell>
          <cell r="D53">
            <v>0</v>
          </cell>
          <cell r="E53">
            <v>223325</v>
          </cell>
          <cell r="F53">
            <v>0</v>
          </cell>
          <cell r="G53">
            <v>223325</v>
          </cell>
          <cell r="H53">
            <v>0</v>
          </cell>
          <cell r="I53">
            <v>0</v>
          </cell>
          <cell r="J53">
            <v>-223325</v>
          </cell>
        </row>
        <row r="54">
          <cell r="A54" t="str">
            <v>1-1-60-01-003  INTERES DIF.LEASING-OUTLET C/P</v>
          </cell>
          <cell r="B54">
            <v>0</v>
          </cell>
          <cell r="C54">
            <v>1604549</v>
          </cell>
          <cell r="D54">
            <v>0</v>
          </cell>
          <cell r="E54">
            <v>1604549</v>
          </cell>
          <cell r="F54">
            <v>0</v>
          </cell>
          <cell r="G54">
            <v>1604549</v>
          </cell>
          <cell r="H54">
            <v>0</v>
          </cell>
          <cell r="I54">
            <v>0</v>
          </cell>
          <cell r="J54">
            <v>-1604549</v>
          </cell>
        </row>
        <row r="55">
          <cell r="A55" t="str">
            <v>1-1-60-01-011  INT.DIF.LEASING VALPO L/P</v>
          </cell>
          <cell r="B55">
            <v>0</v>
          </cell>
          <cell r="C55">
            <v>2179881</v>
          </cell>
          <cell r="D55">
            <v>0</v>
          </cell>
          <cell r="E55">
            <v>2179881</v>
          </cell>
          <cell r="F55">
            <v>0</v>
          </cell>
          <cell r="G55">
            <v>2179881</v>
          </cell>
          <cell r="H55">
            <v>0</v>
          </cell>
          <cell r="I55">
            <v>0</v>
          </cell>
          <cell r="J55">
            <v>-2179881</v>
          </cell>
        </row>
        <row r="56">
          <cell r="A56" t="str">
            <v>1-1-60-01-012  INT.DIF.LEASING CAUQUENES L/P</v>
          </cell>
          <cell r="B56">
            <v>0</v>
          </cell>
          <cell r="C56">
            <v>1746289</v>
          </cell>
          <cell r="D56">
            <v>0</v>
          </cell>
          <cell r="E56">
            <v>1746289</v>
          </cell>
          <cell r="F56">
            <v>0</v>
          </cell>
          <cell r="G56">
            <v>1746289</v>
          </cell>
          <cell r="H56">
            <v>0</v>
          </cell>
          <cell r="I56">
            <v>0</v>
          </cell>
          <cell r="J56">
            <v>-1746289</v>
          </cell>
        </row>
        <row r="57">
          <cell r="A57" t="str">
            <v>1-1-60-01-013  INTERES DIF. LEASING OUTLET-L/P</v>
          </cell>
          <cell r="B57">
            <v>0</v>
          </cell>
          <cell r="C57">
            <v>43124125</v>
          </cell>
          <cell r="D57">
            <v>0</v>
          </cell>
          <cell r="E57">
            <v>43124125</v>
          </cell>
          <cell r="F57">
            <v>0</v>
          </cell>
          <cell r="G57">
            <v>43124125</v>
          </cell>
          <cell r="H57">
            <v>0</v>
          </cell>
          <cell r="I57">
            <v>0</v>
          </cell>
          <cell r="J57">
            <v>-43124125</v>
          </cell>
        </row>
        <row r="58">
          <cell r="A58" t="str">
            <v>1-1-60-01-014  INTERESES DIF VEHICULOS LEASING CP</v>
          </cell>
          <cell r="B58">
            <v>0</v>
          </cell>
          <cell r="C58">
            <v>590064</v>
          </cell>
          <cell r="D58">
            <v>0</v>
          </cell>
          <cell r="E58">
            <v>590064</v>
          </cell>
          <cell r="F58">
            <v>0</v>
          </cell>
          <cell r="G58">
            <v>590064</v>
          </cell>
          <cell r="H58">
            <v>0</v>
          </cell>
          <cell r="I58">
            <v>0</v>
          </cell>
          <cell r="J58">
            <v>-590064</v>
          </cell>
        </row>
        <row r="59">
          <cell r="A59" t="str">
            <v>1-1-60-01-015  INTERESES DIF VEHICULOS LEASING LP</v>
          </cell>
          <cell r="B59">
            <v>0</v>
          </cell>
          <cell r="C59">
            <v>29077</v>
          </cell>
          <cell r="D59">
            <v>0</v>
          </cell>
          <cell r="E59">
            <v>29077</v>
          </cell>
          <cell r="F59">
            <v>0</v>
          </cell>
          <cell r="G59">
            <v>29077</v>
          </cell>
          <cell r="H59">
            <v>0</v>
          </cell>
          <cell r="I59">
            <v>0</v>
          </cell>
          <cell r="J59">
            <v>-29077</v>
          </cell>
        </row>
        <row r="60">
          <cell r="A60" t="str">
            <v>1-1-60-01-016  INTER DIF  HIPOTECARIO LOS MORROS CP</v>
          </cell>
          <cell r="B60">
            <v>0</v>
          </cell>
          <cell r="C60">
            <v>652695</v>
          </cell>
          <cell r="D60">
            <v>0</v>
          </cell>
          <cell r="E60">
            <v>652695</v>
          </cell>
          <cell r="F60">
            <v>0</v>
          </cell>
          <cell r="G60">
            <v>652695</v>
          </cell>
          <cell r="H60">
            <v>0</v>
          </cell>
          <cell r="I60">
            <v>0</v>
          </cell>
          <cell r="J60">
            <v>-652695</v>
          </cell>
        </row>
        <row r="61">
          <cell r="A61" t="str">
            <v>1-1-60-01-017  INTER DIF HIPOTECARIO LOS MORROS LP</v>
          </cell>
          <cell r="B61">
            <v>0</v>
          </cell>
          <cell r="C61">
            <v>12935295</v>
          </cell>
          <cell r="D61">
            <v>0</v>
          </cell>
          <cell r="E61">
            <v>12935295</v>
          </cell>
          <cell r="F61">
            <v>0</v>
          </cell>
          <cell r="G61">
            <v>12935295</v>
          </cell>
          <cell r="H61">
            <v>0</v>
          </cell>
          <cell r="I61">
            <v>0</v>
          </cell>
          <cell r="J61">
            <v>-12935295</v>
          </cell>
        </row>
        <row r="62">
          <cell r="A62" t="str">
            <v>1-1-60-01-018  INTERESES DIF INTERNACIONAL CP M$600</v>
          </cell>
          <cell r="B62">
            <v>0</v>
          </cell>
          <cell r="C62">
            <v>2111964</v>
          </cell>
          <cell r="D62">
            <v>0</v>
          </cell>
          <cell r="E62">
            <v>2111964</v>
          </cell>
          <cell r="F62">
            <v>0</v>
          </cell>
          <cell r="G62">
            <v>2111964</v>
          </cell>
          <cell r="H62">
            <v>0</v>
          </cell>
          <cell r="I62">
            <v>0</v>
          </cell>
          <cell r="J62">
            <v>-2111964</v>
          </cell>
        </row>
        <row r="63">
          <cell r="A63" t="str">
            <v>1-1-60-01-019  INTERESES DIF INTERNACIONAL LP M$600</v>
          </cell>
          <cell r="B63">
            <v>0</v>
          </cell>
          <cell r="C63">
            <v>195931</v>
          </cell>
          <cell r="D63">
            <v>0</v>
          </cell>
          <cell r="E63">
            <v>195931</v>
          </cell>
          <cell r="F63">
            <v>0</v>
          </cell>
          <cell r="G63">
            <v>195931</v>
          </cell>
          <cell r="H63">
            <v>0</v>
          </cell>
          <cell r="I63">
            <v>0</v>
          </cell>
          <cell r="J63">
            <v>-195931</v>
          </cell>
        </row>
        <row r="64">
          <cell r="A64" t="str">
            <v>1-1-60-01-020  INTERESES DIF INTERNACIONAL CP M$1.000</v>
          </cell>
          <cell r="B64">
            <v>0</v>
          </cell>
          <cell r="C64">
            <v>945887</v>
          </cell>
          <cell r="D64">
            <v>0</v>
          </cell>
          <cell r="E64">
            <v>945887</v>
          </cell>
          <cell r="F64">
            <v>0</v>
          </cell>
          <cell r="G64">
            <v>945887</v>
          </cell>
          <cell r="H64">
            <v>0</v>
          </cell>
          <cell r="I64">
            <v>0</v>
          </cell>
          <cell r="J64">
            <v>-945887</v>
          </cell>
        </row>
        <row r="65">
          <cell r="A65" t="str">
            <v>1-1-60-01-021  INTERESES DIF INTERNACIONAL LP M$1.000</v>
          </cell>
          <cell r="B65">
            <v>0</v>
          </cell>
          <cell r="C65">
            <v>5645597</v>
          </cell>
          <cell r="D65">
            <v>0</v>
          </cell>
          <cell r="E65">
            <v>5645597</v>
          </cell>
          <cell r="F65">
            <v>0</v>
          </cell>
          <cell r="G65">
            <v>5645597</v>
          </cell>
          <cell r="H65">
            <v>0</v>
          </cell>
          <cell r="I65">
            <v>0</v>
          </cell>
          <cell r="J65">
            <v>-5645597</v>
          </cell>
        </row>
        <row r="66">
          <cell r="A66" t="str">
            <v>1-1-70-01-001  IVA CREDITO FISCAL</v>
          </cell>
          <cell r="B66">
            <v>166966977</v>
          </cell>
          <cell r="C66">
            <v>166966977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1-1-70-01-010  INTER. DIF. LEASING 1 SUR 1990 CP</v>
          </cell>
          <cell r="B67">
            <v>0</v>
          </cell>
          <cell r="C67">
            <v>144048</v>
          </cell>
          <cell r="D67">
            <v>0</v>
          </cell>
          <cell r="E67">
            <v>144048</v>
          </cell>
          <cell r="F67">
            <v>0</v>
          </cell>
          <cell r="G67">
            <v>144048</v>
          </cell>
          <cell r="H67">
            <v>0</v>
          </cell>
          <cell r="I67">
            <v>0</v>
          </cell>
          <cell r="J67">
            <v>-144048</v>
          </cell>
        </row>
        <row r="68">
          <cell r="A68" t="str">
            <v>1-1-70-01-011  INTER. DIF. LEASING SAN JAVIER CP</v>
          </cell>
          <cell r="B68">
            <v>0</v>
          </cell>
          <cell r="C68">
            <v>123856</v>
          </cell>
          <cell r="D68">
            <v>0</v>
          </cell>
          <cell r="E68">
            <v>123856</v>
          </cell>
          <cell r="F68">
            <v>0</v>
          </cell>
          <cell r="G68">
            <v>123856</v>
          </cell>
          <cell r="H68">
            <v>0</v>
          </cell>
          <cell r="I68">
            <v>0</v>
          </cell>
          <cell r="J68">
            <v>-123856</v>
          </cell>
        </row>
        <row r="69">
          <cell r="A69" t="str">
            <v>1-1-70-01-012  INTER. DIF. LEASING COLIN 0240 CP</v>
          </cell>
          <cell r="B69">
            <v>0</v>
          </cell>
          <cell r="C69">
            <v>233116</v>
          </cell>
          <cell r="D69">
            <v>0</v>
          </cell>
          <cell r="E69">
            <v>233116</v>
          </cell>
          <cell r="F69">
            <v>0</v>
          </cell>
          <cell r="G69">
            <v>233116</v>
          </cell>
          <cell r="H69">
            <v>0</v>
          </cell>
          <cell r="I69">
            <v>0</v>
          </cell>
          <cell r="J69">
            <v>-233116</v>
          </cell>
        </row>
        <row r="70">
          <cell r="A70" t="str">
            <v>1-1-70-01-013  INTER. DIF. LEASING C. SATELITE CP</v>
          </cell>
          <cell r="B70">
            <v>0</v>
          </cell>
          <cell r="C70">
            <v>342722</v>
          </cell>
          <cell r="D70">
            <v>0</v>
          </cell>
          <cell r="E70">
            <v>342722</v>
          </cell>
          <cell r="F70">
            <v>0</v>
          </cell>
          <cell r="G70">
            <v>342722</v>
          </cell>
          <cell r="H70">
            <v>0</v>
          </cell>
          <cell r="I70">
            <v>0</v>
          </cell>
          <cell r="J70">
            <v>-342722</v>
          </cell>
        </row>
        <row r="71">
          <cell r="A71" t="str">
            <v>1-1-70-01-014  INTER. DIF. LEASING 11 ORIENTE CP</v>
          </cell>
          <cell r="B71">
            <v>0</v>
          </cell>
          <cell r="C71">
            <v>492582</v>
          </cell>
          <cell r="D71">
            <v>0</v>
          </cell>
          <cell r="E71">
            <v>492582</v>
          </cell>
          <cell r="F71">
            <v>0</v>
          </cell>
          <cell r="G71">
            <v>492582</v>
          </cell>
          <cell r="H71">
            <v>0</v>
          </cell>
          <cell r="I71">
            <v>0</v>
          </cell>
          <cell r="J71">
            <v>-492582</v>
          </cell>
        </row>
        <row r="72">
          <cell r="A72" t="str">
            <v>1-1-70-01-015  INTER. DIF. LEASING MAIPU 556 CP</v>
          </cell>
          <cell r="B72">
            <v>0</v>
          </cell>
          <cell r="C72">
            <v>435950</v>
          </cell>
          <cell r="D72">
            <v>0</v>
          </cell>
          <cell r="E72">
            <v>435950</v>
          </cell>
          <cell r="F72">
            <v>0</v>
          </cell>
          <cell r="G72">
            <v>435950</v>
          </cell>
          <cell r="H72">
            <v>0</v>
          </cell>
          <cell r="I72">
            <v>0</v>
          </cell>
          <cell r="J72">
            <v>-435950</v>
          </cell>
        </row>
        <row r="73">
          <cell r="A73" t="str">
            <v>1-1-70-01-016  INTER. DIF. LEASING BRASIL 648 CP</v>
          </cell>
          <cell r="B73">
            <v>0</v>
          </cell>
          <cell r="C73">
            <v>334229</v>
          </cell>
          <cell r="D73">
            <v>0</v>
          </cell>
          <cell r="E73">
            <v>334229</v>
          </cell>
          <cell r="F73">
            <v>0</v>
          </cell>
          <cell r="G73">
            <v>334229</v>
          </cell>
          <cell r="H73">
            <v>0</v>
          </cell>
          <cell r="I73">
            <v>0</v>
          </cell>
          <cell r="J73">
            <v>-334229</v>
          </cell>
        </row>
        <row r="74">
          <cell r="A74" t="str">
            <v>1-1-70-01-017  INTER. DIF. LEASING VIAL 224 CP</v>
          </cell>
          <cell r="B74">
            <v>0</v>
          </cell>
          <cell r="C74">
            <v>399622</v>
          </cell>
          <cell r="D74">
            <v>0</v>
          </cell>
          <cell r="E74">
            <v>399622</v>
          </cell>
          <cell r="F74">
            <v>0</v>
          </cell>
          <cell r="G74">
            <v>399622</v>
          </cell>
          <cell r="H74">
            <v>0</v>
          </cell>
          <cell r="I74">
            <v>0</v>
          </cell>
          <cell r="J74">
            <v>-399622</v>
          </cell>
        </row>
        <row r="75">
          <cell r="A75" t="str">
            <v>1-1-70-01-018  INTER. DIF. LEASING TALCA COLIN CP</v>
          </cell>
          <cell r="B75">
            <v>0</v>
          </cell>
          <cell r="C75">
            <v>3801874</v>
          </cell>
          <cell r="D75">
            <v>0</v>
          </cell>
          <cell r="E75">
            <v>3801874</v>
          </cell>
          <cell r="F75">
            <v>0</v>
          </cell>
          <cell r="G75">
            <v>3801874</v>
          </cell>
          <cell r="H75">
            <v>0</v>
          </cell>
          <cell r="I75">
            <v>0</v>
          </cell>
          <cell r="J75">
            <v>-3801874</v>
          </cell>
        </row>
        <row r="76">
          <cell r="A76" t="str">
            <v>1-1-70-01-019  INTER. DIF. HIPOTECARIO CP</v>
          </cell>
          <cell r="B76">
            <v>0</v>
          </cell>
          <cell r="C76">
            <v>470176</v>
          </cell>
          <cell r="D76">
            <v>0</v>
          </cell>
          <cell r="E76">
            <v>470176</v>
          </cell>
          <cell r="F76">
            <v>0</v>
          </cell>
          <cell r="G76">
            <v>470176</v>
          </cell>
          <cell r="H76">
            <v>0</v>
          </cell>
          <cell r="I76">
            <v>0</v>
          </cell>
          <cell r="J76">
            <v>-470176</v>
          </cell>
        </row>
        <row r="77">
          <cell r="A77" t="str">
            <v>1-1-70-01-025  INTER. DIF. LEASING 11 ORIENTE LP</v>
          </cell>
          <cell r="B77">
            <v>0</v>
          </cell>
          <cell r="C77">
            <v>123146</v>
          </cell>
          <cell r="D77">
            <v>0</v>
          </cell>
          <cell r="E77">
            <v>123146</v>
          </cell>
          <cell r="F77">
            <v>0</v>
          </cell>
          <cell r="G77">
            <v>123146</v>
          </cell>
          <cell r="H77">
            <v>0</v>
          </cell>
          <cell r="I77">
            <v>0</v>
          </cell>
          <cell r="J77">
            <v>-123146</v>
          </cell>
        </row>
        <row r="78">
          <cell r="A78" t="str">
            <v>1-1-70-01-026  INTER. DIF. LEASING MAIPU 556 LP</v>
          </cell>
          <cell r="B78">
            <v>0</v>
          </cell>
          <cell r="C78">
            <v>108988</v>
          </cell>
          <cell r="D78">
            <v>0</v>
          </cell>
          <cell r="E78">
            <v>108988</v>
          </cell>
          <cell r="F78">
            <v>0</v>
          </cell>
          <cell r="G78">
            <v>108988</v>
          </cell>
          <cell r="H78">
            <v>0</v>
          </cell>
          <cell r="I78">
            <v>0</v>
          </cell>
          <cell r="J78">
            <v>-108988</v>
          </cell>
        </row>
        <row r="79">
          <cell r="A79" t="str">
            <v>1-1-70-01-027  INTER. DIF. LEASING BRASIL 648 LP</v>
          </cell>
          <cell r="B79">
            <v>0</v>
          </cell>
          <cell r="C79">
            <v>83557</v>
          </cell>
          <cell r="D79">
            <v>0</v>
          </cell>
          <cell r="E79">
            <v>83557</v>
          </cell>
          <cell r="F79">
            <v>0</v>
          </cell>
          <cell r="G79">
            <v>83557</v>
          </cell>
          <cell r="H79">
            <v>0</v>
          </cell>
          <cell r="I79">
            <v>0</v>
          </cell>
          <cell r="J79">
            <v>-83557</v>
          </cell>
        </row>
        <row r="80">
          <cell r="A80" t="str">
            <v>1-1-70-01-028  INTER. DIF. LEASING VIAL 224 LP</v>
          </cell>
          <cell r="B80">
            <v>0</v>
          </cell>
          <cell r="C80">
            <v>99905</v>
          </cell>
          <cell r="D80">
            <v>0</v>
          </cell>
          <cell r="E80">
            <v>99905</v>
          </cell>
          <cell r="F80">
            <v>0</v>
          </cell>
          <cell r="G80">
            <v>99905</v>
          </cell>
          <cell r="H80">
            <v>0</v>
          </cell>
          <cell r="I80">
            <v>0</v>
          </cell>
          <cell r="J80">
            <v>-99905</v>
          </cell>
        </row>
        <row r="81">
          <cell r="A81" t="str">
            <v>1-1-70-01-029  INTER. DIF. LEASING TALCA COLIN LP</v>
          </cell>
          <cell r="B81">
            <v>0</v>
          </cell>
          <cell r="C81">
            <v>4676496</v>
          </cell>
          <cell r="D81">
            <v>0</v>
          </cell>
          <cell r="E81">
            <v>4676496</v>
          </cell>
          <cell r="F81">
            <v>0</v>
          </cell>
          <cell r="G81">
            <v>4676496</v>
          </cell>
          <cell r="H81">
            <v>0</v>
          </cell>
          <cell r="I81">
            <v>0</v>
          </cell>
          <cell r="J81">
            <v>-4676496</v>
          </cell>
        </row>
        <row r="82">
          <cell r="A82" t="str">
            <v>1-1-70-01-031  INTERESES POR COBRAR MUTUOS EWA</v>
          </cell>
          <cell r="B82">
            <v>167696</v>
          </cell>
          <cell r="C82">
            <v>0</v>
          </cell>
          <cell r="D82">
            <v>167696</v>
          </cell>
          <cell r="E82">
            <v>0</v>
          </cell>
          <cell r="F82">
            <v>167696</v>
          </cell>
          <cell r="G82">
            <v>0</v>
          </cell>
          <cell r="H82">
            <v>0</v>
          </cell>
          <cell r="I82">
            <v>0</v>
          </cell>
          <cell r="J82">
            <v>167696</v>
          </cell>
        </row>
        <row r="83">
          <cell r="A83" t="str">
            <v>1-1-70-01-032  INTERESES MUTUOS POR COBRAR INSF</v>
          </cell>
          <cell r="B83">
            <v>12328</v>
          </cell>
          <cell r="C83">
            <v>0</v>
          </cell>
          <cell r="D83">
            <v>12328</v>
          </cell>
          <cell r="E83">
            <v>0</v>
          </cell>
          <cell r="F83">
            <v>12328</v>
          </cell>
          <cell r="G83">
            <v>0</v>
          </cell>
          <cell r="H83">
            <v>0</v>
          </cell>
          <cell r="I83">
            <v>0</v>
          </cell>
          <cell r="J83">
            <v>12328</v>
          </cell>
        </row>
        <row r="84">
          <cell r="A84" t="str">
            <v>1-2-01-08-010  DEPREC. ACUM.  ACTIVOS EN LEASING</v>
          </cell>
          <cell r="B84">
            <v>611751862</v>
          </cell>
          <cell r="C84">
            <v>672927049</v>
          </cell>
          <cell r="D84">
            <v>0</v>
          </cell>
          <cell r="E84">
            <v>61175187</v>
          </cell>
          <cell r="F84">
            <v>0</v>
          </cell>
          <cell r="G84">
            <v>61175187</v>
          </cell>
          <cell r="H84">
            <v>0</v>
          </cell>
          <cell r="I84">
            <v>0</v>
          </cell>
          <cell r="J84">
            <v>-61175187</v>
          </cell>
        </row>
        <row r="85">
          <cell r="A85" t="str">
            <v>1-2-02-01-001  DEP. ACUM. MUEBLES Y UTILES</v>
          </cell>
          <cell r="B85">
            <v>0</v>
          </cell>
          <cell r="C85">
            <v>428442</v>
          </cell>
          <cell r="D85">
            <v>0</v>
          </cell>
          <cell r="E85">
            <v>428442</v>
          </cell>
          <cell r="F85">
            <v>0</v>
          </cell>
          <cell r="G85">
            <v>428442</v>
          </cell>
          <cell r="H85">
            <v>0</v>
          </cell>
          <cell r="I85">
            <v>0</v>
          </cell>
          <cell r="J85">
            <v>-428442</v>
          </cell>
        </row>
        <row r="86">
          <cell r="A86" t="str">
            <v>1-2-02-02-001  DEP.ACUM. INSTALACIONES</v>
          </cell>
          <cell r="B86">
            <v>0</v>
          </cell>
          <cell r="C86">
            <v>14009</v>
          </cell>
          <cell r="D86">
            <v>0</v>
          </cell>
          <cell r="E86">
            <v>14009</v>
          </cell>
          <cell r="F86">
            <v>0</v>
          </cell>
          <cell r="G86">
            <v>14009</v>
          </cell>
          <cell r="H86">
            <v>0</v>
          </cell>
          <cell r="I86">
            <v>0</v>
          </cell>
          <cell r="J86">
            <v>-14009</v>
          </cell>
        </row>
        <row r="87">
          <cell r="A87" t="str">
            <v>1-2-02-05-001  DEP. ACUM. CONSTRUCCION PARRAL</v>
          </cell>
          <cell r="B87">
            <v>0</v>
          </cell>
          <cell r="C87">
            <v>390558</v>
          </cell>
          <cell r="D87">
            <v>0</v>
          </cell>
          <cell r="E87">
            <v>390558</v>
          </cell>
          <cell r="F87">
            <v>0</v>
          </cell>
          <cell r="G87">
            <v>390558</v>
          </cell>
          <cell r="H87">
            <v>0</v>
          </cell>
          <cell r="I87">
            <v>0</v>
          </cell>
          <cell r="J87">
            <v>-390558</v>
          </cell>
        </row>
        <row r="88">
          <cell r="A88" t="str">
            <v>1-2-02-05-002  DEP. ACUM. CONSTRUCCION LINARES</v>
          </cell>
          <cell r="B88">
            <v>0</v>
          </cell>
          <cell r="C88">
            <v>418936</v>
          </cell>
          <cell r="D88">
            <v>0</v>
          </cell>
          <cell r="E88">
            <v>418936</v>
          </cell>
          <cell r="F88">
            <v>0</v>
          </cell>
          <cell r="G88">
            <v>418936</v>
          </cell>
          <cell r="H88">
            <v>0</v>
          </cell>
          <cell r="I88">
            <v>0</v>
          </cell>
          <cell r="J88">
            <v>-418936</v>
          </cell>
        </row>
        <row r="89">
          <cell r="A89" t="str">
            <v>1-2-02-05-003  DEP. ACUM. CONSTRUCCION TALCA</v>
          </cell>
          <cell r="B89">
            <v>0</v>
          </cell>
          <cell r="C89">
            <v>1760097</v>
          </cell>
          <cell r="D89">
            <v>0</v>
          </cell>
          <cell r="E89">
            <v>1760097</v>
          </cell>
          <cell r="F89">
            <v>0</v>
          </cell>
          <cell r="G89">
            <v>1760097</v>
          </cell>
          <cell r="H89">
            <v>0</v>
          </cell>
          <cell r="I89">
            <v>0</v>
          </cell>
          <cell r="J89">
            <v>-1760097</v>
          </cell>
        </row>
        <row r="90">
          <cell r="A90" t="str">
            <v>1-2-02-05-004  DEP. ACUM. CONSTRUCCION RENCA</v>
          </cell>
          <cell r="B90">
            <v>0</v>
          </cell>
          <cell r="C90">
            <v>1099817</v>
          </cell>
          <cell r="D90">
            <v>0</v>
          </cell>
          <cell r="E90">
            <v>1099817</v>
          </cell>
          <cell r="F90">
            <v>0</v>
          </cell>
          <cell r="G90">
            <v>1099817</v>
          </cell>
          <cell r="H90">
            <v>0</v>
          </cell>
          <cell r="I90">
            <v>0</v>
          </cell>
          <cell r="J90">
            <v>-1099817</v>
          </cell>
        </row>
        <row r="91">
          <cell r="A91" t="str">
            <v>1-2-02-05-005  DEP. ACUM. CONSTRUCCION VICENTE VALDES</v>
          </cell>
          <cell r="B91">
            <v>0</v>
          </cell>
          <cell r="C91">
            <v>4413718</v>
          </cell>
          <cell r="D91">
            <v>0</v>
          </cell>
          <cell r="E91">
            <v>4413718</v>
          </cell>
          <cell r="F91">
            <v>0</v>
          </cell>
          <cell r="G91">
            <v>4413718</v>
          </cell>
          <cell r="H91">
            <v>0</v>
          </cell>
          <cell r="I91">
            <v>0</v>
          </cell>
          <cell r="J91">
            <v>-4413718</v>
          </cell>
        </row>
        <row r="92">
          <cell r="A92" t="str">
            <v>1-2-02-05-008  DEP. ACUM. CONSTRUCCION LOS MORROS</v>
          </cell>
          <cell r="B92">
            <v>0</v>
          </cell>
          <cell r="C92">
            <v>2418931</v>
          </cell>
          <cell r="D92">
            <v>0</v>
          </cell>
          <cell r="E92">
            <v>2418931</v>
          </cell>
          <cell r="F92">
            <v>0</v>
          </cell>
          <cell r="G92">
            <v>2418931</v>
          </cell>
          <cell r="H92">
            <v>0</v>
          </cell>
          <cell r="I92">
            <v>0</v>
          </cell>
          <cell r="J92">
            <v>-2418931</v>
          </cell>
        </row>
        <row r="93">
          <cell r="A93" t="str">
            <v>1-2-02-05-009  DEP. ACUM. CONSTRUCCION TALCA COLIN</v>
          </cell>
          <cell r="B93">
            <v>0</v>
          </cell>
          <cell r="C93">
            <v>4189935</v>
          </cell>
          <cell r="D93">
            <v>0</v>
          </cell>
          <cell r="E93">
            <v>4189935</v>
          </cell>
          <cell r="F93">
            <v>0</v>
          </cell>
          <cell r="G93">
            <v>4189935</v>
          </cell>
          <cell r="H93">
            <v>0</v>
          </cell>
          <cell r="I93">
            <v>0</v>
          </cell>
          <cell r="J93">
            <v>-4189935</v>
          </cell>
        </row>
        <row r="94">
          <cell r="A94" t="str">
            <v>1-2-02-05-010  DEP. ACUM. CONSTRUCCION TALAGANTE</v>
          </cell>
          <cell r="B94">
            <v>0</v>
          </cell>
          <cell r="C94">
            <v>1964950</v>
          </cell>
          <cell r="D94">
            <v>0</v>
          </cell>
          <cell r="E94">
            <v>1964950</v>
          </cell>
          <cell r="F94">
            <v>0</v>
          </cell>
          <cell r="G94">
            <v>1964950</v>
          </cell>
          <cell r="H94">
            <v>0</v>
          </cell>
          <cell r="I94">
            <v>0</v>
          </cell>
          <cell r="J94">
            <v>-1964950</v>
          </cell>
        </row>
        <row r="95">
          <cell r="A95" t="str">
            <v>1-2-02-05-011  DEP. ACUM. CONSTRUCCION J. ESPINOZA</v>
          </cell>
          <cell r="B95">
            <v>0</v>
          </cell>
          <cell r="C95">
            <v>1843617</v>
          </cell>
          <cell r="D95">
            <v>0</v>
          </cell>
          <cell r="E95">
            <v>1843617</v>
          </cell>
          <cell r="F95">
            <v>0</v>
          </cell>
          <cell r="G95">
            <v>1843617</v>
          </cell>
          <cell r="H95">
            <v>0</v>
          </cell>
          <cell r="I95">
            <v>0</v>
          </cell>
          <cell r="J95">
            <v>-1843617</v>
          </cell>
        </row>
        <row r="96">
          <cell r="A96" t="str">
            <v>1-2-02-05-019  DEPREC. ACUM. REÑACA NORTE</v>
          </cell>
          <cell r="B96">
            <v>0</v>
          </cell>
          <cell r="C96">
            <v>337009</v>
          </cell>
          <cell r="D96">
            <v>0</v>
          </cell>
          <cell r="E96">
            <v>337009</v>
          </cell>
          <cell r="F96">
            <v>0</v>
          </cell>
          <cell r="G96">
            <v>337009</v>
          </cell>
          <cell r="H96">
            <v>0</v>
          </cell>
          <cell r="I96">
            <v>0</v>
          </cell>
          <cell r="J96">
            <v>-337009</v>
          </cell>
        </row>
        <row r="97">
          <cell r="A97" t="str">
            <v>1-2-02-05-021  DEPRECACUM. PROY.GIMNASIO LINARES</v>
          </cell>
          <cell r="B97">
            <v>0</v>
          </cell>
          <cell r="C97">
            <v>2553231</v>
          </cell>
          <cell r="D97">
            <v>0</v>
          </cell>
          <cell r="E97">
            <v>2553231</v>
          </cell>
          <cell r="F97">
            <v>0</v>
          </cell>
          <cell r="G97">
            <v>2553231</v>
          </cell>
          <cell r="H97">
            <v>0</v>
          </cell>
          <cell r="I97">
            <v>0</v>
          </cell>
          <cell r="J97">
            <v>-2553231</v>
          </cell>
        </row>
        <row r="98">
          <cell r="A98" t="str">
            <v>1-2-02-05-027  DEP. ACUM. INM PELLUHUE</v>
          </cell>
          <cell r="B98">
            <v>0</v>
          </cell>
          <cell r="C98">
            <v>232908</v>
          </cell>
          <cell r="D98">
            <v>0</v>
          </cell>
          <cell r="E98">
            <v>232908</v>
          </cell>
          <cell r="F98">
            <v>0</v>
          </cell>
          <cell r="G98">
            <v>232908</v>
          </cell>
          <cell r="H98">
            <v>0</v>
          </cell>
          <cell r="I98">
            <v>0</v>
          </cell>
          <cell r="J98">
            <v>-232908</v>
          </cell>
        </row>
        <row r="99">
          <cell r="A99" t="str">
            <v>1-2-02-05-028  DEP. ACUM. INM. LOS MAITENES</v>
          </cell>
          <cell r="B99">
            <v>0</v>
          </cell>
          <cell r="C99">
            <v>2327999</v>
          </cell>
          <cell r="D99">
            <v>0</v>
          </cell>
          <cell r="E99">
            <v>2327999</v>
          </cell>
          <cell r="F99">
            <v>0</v>
          </cell>
          <cell r="G99">
            <v>2327999</v>
          </cell>
          <cell r="H99">
            <v>0</v>
          </cell>
          <cell r="I99">
            <v>0</v>
          </cell>
          <cell r="J99">
            <v>-2327999</v>
          </cell>
        </row>
        <row r="100">
          <cell r="A100" t="str">
            <v>1-2-02-05-030  DEP.ACUM. PROYECTO MULCHEN</v>
          </cell>
          <cell r="B100">
            <v>0</v>
          </cell>
          <cell r="C100">
            <v>4248299</v>
          </cell>
          <cell r="D100">
            <v>0</v>
          </cell>
          <cell r="E100">
            <v>4248299</v>
          </cell>
          <cell r="F100">
            <v>0</v>
          </cell>
          <cell r="G100">
            <v>4248299</v>
          </cell>
          <cell r="H100">
            <v>0</v>
          </cell>
          <cell r="I100">
            <v>0</v>
          </cell>
          <cell r="J100">
            <v>-4248299</v>
          </cell>
        </row>
        <row r="101">
          <cell r="A101" t="str">
            <v>1-2-02-05-603  DEP ACUMU EL TREBOL LINARES</v>
          </cell>
          <cell r="B101">
            <v>0</v>
          </cell>
          <cell r="C101">
            <v>2550014</v>
          </cell>
          <cell r="D101">
            <v>0</v>
          </cell>
          <cell r="E101">
            <v>2550014</v>
          </cell>
          <cell r="F101">
            <v>0</v>
          </cell>
          <cell r="G101">
            <v>2550014</v>
          </cell>
          <cell r="H101">
            <v>0</v>
          </cell>
          <cell r="I101">
            <v>0</v>
          </cell>
          <cell r="J101">
            <v>-2550014</v>
          </cell>
        </row>
        <row r="102">
          <cell r="A102" t="str">
            <v>1-2-02-06-001  DEP. ACUM. BIENES RAICES</v>
          </cell>
          <cell r="B102">
            <v>0</v>
          </cell>
          <cell r="C102">
            <v>3236485</v>
          </cell>
          <cell r="D102">
            <v>0</v>
          </cell>
          <cell r="E102">
            <v>3236485</v>
          </cell>
          <cell r="F102">
            <v>0</v>
          </cell>
          <cell r="G102">
            <v>3236485</v>
          </cell>
          <cell r="H102">
            <v>0</v>
          </cell>
          <cell r="I102">
            <v>0</v>
          </cell>
          <cell r="J102">
            <v>-3236485</v>
          </cell>
        </row>
        <row r="103">
          <cell r="A103" t="str">
            <v>1-3-01-01-001  LICENCIAS DE SOFTWARE</v>
          </cell>
          <cell r="B103">
            <v>0</v>
          </cell>
          <cell r="C103">
            <v>15775535</v>
          </cell>
          <cell r="D103">
            <v>0</v>
          </cell>
          <cell r="E103">
            <v>15775535</v>
          </cell>
          <cell r="F103">
            <v>0</v>
          </cell>
          <cell r="G103">
            <v>15775535</v>
          </cell>
          <cell r="H103">
            <v>0</v>
          </cell>
          <cell r="I103">
            <v>0</v>
          </cell>
          <cell r="J103">
            <v>-15775535</v>
          </cell>
        </row>
        <row r="104">
          <cell r="A104" t="str">
            <v>1-3-01-01-002  MARCAS COMERCIALES</v>
          </cell>
          <cell r="B104">
            <v>0</v>
          </cell>
          <cell r="C104">
            <v>2030000</v>
          </cell>
          <cell r="D104">
            <v>0</v>
          </cell>
          <cell r="E104">
            <v>2030000</v>
          </cell>
          <cell r="F104">
            <v>0</v>
          </cell>
          <cell r="G104">
            <v>2030000</v>
          </cell>
          <cell r="H104">
            <v>0</v>
          </cell>
          <cell r="I104">
            <v>0</v>
          </cell>
          <cell r="J104">
            <v>-2030000</v>
          </cell>
        </row>
        <row r="105">
          <cell r="A105" t="str">
            <v>1-3-01-02-002  GARANTIAS PAGADAS</v>
          </cell>
          <cell r="B105">
            <v>0</v>
          </cell>
          <cell r="C105">
            <v>3142068</v>
          </cell>
          <cell r="D105">
            <v>0</v>
          </cell>
          <cell r="E105">
            <v>3142068</v>
          </cell>
          <cell r="F105">
            <v>0</v>
          </cell>
          <cell r="G105">
            <v>3142068</v>
          </cell>
          <cell r="H105">
            <v>0</v>
          </cell>
          <cell r="I105">
            <v>0</v>
          </cell>
          <cell r="J105">
            <v>-3142068</v>
          </cell>
        </row>
        <row r="106">
          <cell r="A106" t="str">
            <v>1-3-01-02-003  BOLETA GARANTIAS LOCATARIOS (ORDEN)</v>
          </cell>
          <cell r="B106">
            <v>69609386</v>
          </cell>
          <cell r="C106">
            <v>67786459</v>
          </cell>
          <cell r="D106">
            <v>1822927</v>
          </cell>
          <cell r="E106">
            <v>0</v>
          </cell>
          <cell r="F106">
            <v>1822927</v>
          </cell>
          <cell r="G106">
            <v>0</v>
          </cell>
          <cell r="H106">
            <v>0</v>
          </cell>
          <cell r="I106">
            <v>0</v>
          </cell>
          <cell r="J106">
            <v>1822927</v>
          </cell>
        </row>
        <row r="107">
          <cell r="A107" t="str">
            <v>2-1-01-01-009  PRESTAMO  BCO INTERNACIONAL CP M$600</v>
          </cell>
          <cell r="B107">
            <v>27288773</v>
          </cell>
          <cell r="C107">
            <v>27288773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</row>
        <row r="108">
          <cell r="A108" t="str">
            <v>2-1-01-01-010  USO LINEA CRÉDITO BANCO SANTANDER</v>
          </cell>
          <cell r="B108">
            <v>316940977</v>
          </cell>
          <cell r="C108">
            <v>395645879</v>
          </cell>
          <cell r="D108">
            <v>0</v>
          </cell>
          <cell r="E108">
            <v>78704902</v>
          </cell>
          <cell r="F108">
            <v>0</v>
          </cell>
          <cell r="G108">
            <v>78704902</v>
          </cell>
          <cell r="H108">
            <v>0</v>
          </cell>
          <cell r="I108">
            <v>0</v>
          </cell>
          <cell r="J108">
            <v>78704902</v>
          </cell>
        </row>
        <row r="109">
          <cell r="A109" t="str">
            <v>2-1-01-01-011  USO LINEA CREDITO BANCO BCI</v>
          </cell>
          <cell r="B109">
            <v>86266210</v>
          </cell>
          <cell r="C109">
            <v>370678505</v>
          </cell>
          <cell r="D109">
            <v>0</v>
          </cell>
          <cell r="E109">
            <v>284412295</v>
          </cell>
          <cell r="F109">
            <v>0</v>
          </cell>
          <cell r="G109">
            <v>284412295</v>
          </cell>
          <cell r="H109">
            <v>0</v>
          </cell>
          <cell r="I109">
            <v>0</v>
          </cell>
          <cell r="J109">
            <v>284412295</v>
          </cell>
        </row>
        <row r="110">
          <cell r="A110" t="str">
            <v>2-1-01-01-014  PRESTAMO  BCO INTERNACIONAL CP M$1.000</v>
          </cell>
          <cell r="B110">
            <v>8720845</v>
          </cell>
          <cell r="C110">
            <v>8720845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2-1-01-02-001  OBLIG. LEASING 1 SUR 1990 C/PLAZO</v>
          </cell>
          <cell r="B111">
            <v>8136840</v>
          </cell>
          <cell r="C111">
            <v>0</v>
          </cell>
          <cell r="D111">
            <v>8136840</v>
          </cell>
          <cell r="E111">
            <v>0</v>
          </cell>
          <cell r="F111">
            <v>8136840</v>
          </cell>
          <cell r="G111">
            <v>0</v>
          </cell>
          <cell r="H111">
            <v>0</v>
          </cell>
          <cell r="I111">
            <v>0</v>
          </cell>
          <cell r="J111">
            <v>-8136840</v>
          </cell>
        </row>
        <row r="112">
          <cell r="A112" t="str">
            <v>2-1-01-02-002  OBLIG. LEASING SAN JAVIER C/PLAZO</v>
          </cell>
          <cell r="B112">
            <v>6996340</v>
          </cell>
          <cell r="C112">
            <v>0</v>
          </cell>
          <cell r="D112">
            <v>6996340</v>
          </cell>
          <cell r="E112">
            <v>0</v>
          </cell>
          <cell r="F112">
            <v>6996340</v>
          </cell>
          <cell r="G112">
            <v>0</v>
          </cell>
          <cell r="H112">
            <v>0</v>
          </cell>
          <cell r="I112">
            <v>0</v>
          </cell>
          <cell r="J112">
            <v>-6996340</v>
          </cell>
        </row>
        <row r="113">
          <cell r="A113" t="str">
            <v>2-1-01-02-003  OBLIG. LEASING COLIN 0240 TALCA</v>
          </cell>
          <cell r="B113">
            <v>13168115</v>
          </cell>
          <cell r="C113">
            <v>0</v>
          </cell>
          <cell r="D113">
            <v>13168115</v>
          </cell>
          <cell r="E113">
            <v>0</v>
          </cell>
          <cell r="F113">
            <v>13168115</v>
          </cell>
          <cell r="G113">
            <v>0</v>
          </cell>
          <cell r="H113">
            <v>0</v>
          </cell>
          <cell r="I113">
            <v>0</v>
          </cell>
          <cell r="J113">
            <v>-13168115</v>
          </cell>
        </row>
        <row r="114">
          <cell r="A114" t="str">
            <v>2-1-01-02-004  OBLIG. LEASING C. SATELITE C/PLAZO</v>
          </cell>
          <cell r="B114">
            <v>19359476</v>
          </cell>
          <cell r="C114">
            <v>0</v>
          </cell>
          <cell r="D114">
            <v>19359476</v>
          </cell>
          <cell r="E114">
            <v>0</v>
          </cell>
          <cell r="F114">
            <v>19359476</v>
          </cell>
          <cell r="G114">
            <v>0</v>
          </cell>
          <cell r="H114">
            <v>0</v>
          </cell>
          <cell r="I114">
            <v>0</v>
          </cell>
          <cell r="J114">
            <v>-19359476</v>
          </cell>
        </row>
        <row r="115">
          <cell r="A115" t="str">
            <v>2-1-01-02-005  OBLIG. LEASING 11 ORIENTE C/PLAZO</v>
          </cell>
          <cell r="B115">
            <v>6611844</v>
          </cell>
          <cell r="C115">
            <v>6119262</v>
          </cell>
          <cell r="D115">
            <v>492582</v>
          </cell>
          <cell r="E115">
            <v>0</v>
          </cell>
          <cell r="F115">
            <v>492582</v>
          </cell>
          <cell r="G115">
            <v>0</v>
          </cell>
          <cell r="H115">
            <v>0</v>
          </cell>
          <cell r="I115">
            <v>0</v>
          </cell>
          <cell r="J115">
            <v>-492582</v>
          </cell>
        </row>
        <row r="116">
          <cell r="A116" t="str">
            <v>2-1-01-02-006  OBLIG. LEASING MAIPU 556 C/PLAZO</v>
          </cell>
          <cell r="B116">
            <v>5851687</v>
          </cell>
          <cell r="C116">
            <v>5415738</v>
          </cell>
          <cell r="D116">
            <v>435949</v>
          </cell>
          <cell r="E116">
            <v>0</v>
          </cell>
          <cell r="F116">
            <v>435949</v>
          </cell>
          <cell r="G116">
            <v>0</v>
          </cell>
          <cell r="H116">
            <v>0</v>
          </cell>
          <cell r="I116">
            <v>0</v>
          </cell>
          <cell r="J116">
            <v>-435949</v>
          </cell>
        </row>
        <row r="117">
          <cell r="A117" t="str">
            <v>2-1-01-02-007  OBLIG. LEASING BRASIL 648 C/PLAZO</v>
          </cell>
          <cell r="B117">
            <v>4486294</v>
          </cell>
          <cell r="C117">
            <v>4152065</v>
          </cell>
          <cell r="D117">
            <v>334229</v>
          </cell>
          <cell r="E117">
            <v>0</v>
          </cell>
          <cell r="F117">
            <v>334229</v>
          </cell>
          <cell r="G117">
            <v>0</v>
          </cell>
          <cell r="H117">
            <v>0</v>
          </cell>
          <cell r="I117">
            <v>0</v>
          </cell>
          <cell r="J117">
            <v>-334229</v>
          </cell>
        </row>
        <row r="118">
          <cell r="A118" t="str">
            <v>2-1-01-02-008  OBLIG. LEASING VIAL 224 C/PLAZO</v>
          </cell>
          <cell r="B118">
            <v>5364047</v>
          </cell>
          <cell r="C118">
            <v>4964425</v>
          </cell>
          <cell r="D118">
            <v>399622</v>
          </cell>
          <cell r="E118">
            <v>0</v>
          </cell>
          <cell r="F118">
            <v>399622</v>
          </cell>
          <cell r="G118">
            <v>0</v>
          </cell>
          <cell r="H118">
            <v>0</v>
          </cell>
          <cell r="I118">
            <v>0</v>
          </cell>
          <cell r="J118">
            <v>-399622</v>
          </cell>
        </row>
        <row r="119">
          <cell r="A119" t="str">
            <v>2-1-01-02-009  OBLIG. LEASING TALCA COLIN C/PLAZO</v>
          </cell>
          <cell r="B119">
            <v>48533762</v>
          </cell>
          <cell r="C119">
            <v>44731888</v>
          </cell>
          <cell r="D119">
            <v>3801874</v>
          </cell>
          <cell r="E119">
            <v>0</v>
          </cell>
          <cell r="F119">
            <v>3801874</v>
          </cell>
          <cell r="G119">
            <v>0</v>
          </cell>
          <cell r="H119">
            <v>0</v>
          </cell>
          <cell r="I119">
            <v>0</v>
          </cell>
          <cell r="J119">
            <v>-3801874</v>
          </cell>
        </row>
        <row r="120">
          <cell r="A120" t="str">
            <v>2-1-01-02-010  OBLIG. HIPOTECARIO C/PLAZO</v>
          </cell>
          <cell r="B120">
            <v>15849365</v>
          </cell>
          <cell r="C120">
            <v>0</v>
          </cell>
          <cell r="D120">
            <v>15849365</v>
          </cell>
          <cell r="E120">
            <v>0</v>
          </cell>
          <cell r="F120">
            <v>15849365</v>
          </cell>
          <cell r="G120">
            <v>0</v>
          </cell>
          <cell r="H120">
            <v>0</v>
          </cell>
          <cell r="I120">
            <v>0</v>
          </cell>
          <cell r="J120">
            <v>-15849365</v>
          </cell>
        </row>
        <row r="121">
          <cell r="A121" t="str">
            <v>2-1-01-02-011  OBLIG.LEASING VALPO  C/P</v>
          </cell>
          <cell r="B121">
            <v>24694631</v>
          </cell>
          <cell r="C121">
            <v>25073747</v>
          </cell>
          <cell r="D121">
            <v>0</v>
          </cell>
          <cell r="E121">
            <v>379116</v>
          </cell>
          <cell r="F121">
            <v>0</v>
          </cell>
          <cell r="G121">
            <v>379116</v>
          </cell>
          <cell r="H121">
            <v>0</v>
          </cell>
          <cell r="I121">
            <v>0</v>
          </cell>
          <cell r="J121">
            <v>379116</v>
          </cell>
        </row>
        <row r="122">
          <cell r="A122" t="str">
            <v>2-1-01-02-012  OBLIG.LEASING CAUQUENES C/P</v>
          </cell>
          <cell r="B122">
            <v>9325640</v>
          </cell>
          <cell r="C122">
            <v>9483876</v>
          </cell>
          <cell r="D122">
            <v>0</v>
          </cell>
          <cell r="E122">
            <v>158236</v>
          </cell>
          <cell r="F122">
            <v>0</v>
          </cell>
          <cell r="G122">
            <v>158236</v>
          </cell>
          <cell r="H122">
            <v>0</v>
          </cell>
          <cell r="I122">
            <v>0</v>
          </cell>
          <cell r="J122">
            <v>158236</v>
          </cell>
        </row>
        <row r="123">
          <cell r="A123" t="str">
            <v>2-1-01-02-013  OBLIG. LEASING OUTLET C/P</v>
          </cell>
          <cell r="B123">
            <v>68809379</v>
          </cell>
          <cell r="C123">
            <v>70446436</v>
          </cell>
          <cell r="D123">
            <v>0</v>
          </cell>
          <cell r="E123">
            <v>1637057</v>
          </cell>
          <cell r="F123">
            <v>0</v>
          </cell>
          <cell r="G123">
            <v>1637057</v>
          </cell>
          <cell r="H123">
            <v>0</v>
          </cell>
          <cell r="I123">
            <v>0</v>
          </cell>
          <cell r="J123">
            <v>1637057</v>
          </cell>
        </row>
        <row r="124">
          <cell r="A124" t="str">
            <v>2-1-01-02-014  OBLIG HIPOTECARIO LOS MORRO CP</v>
          </cell>
          <cell r="B124">
            <v>35010285</v>
          </cell>
          <cell r="C124">
            <v>35478744</v>
          </cell>
          <cell r="D124">
            <v>0</v>
          </cell>
          <cell r="E124">
            <v>468459</v>
          </cell>
          <cell r="F124">
            <v>0</v>
          </cell>
          <cell r="G124">
            <v>468459</v>
          </cell>
          <cell r="H124">
            <v>0</v>
          </cell>
          <cell r="I124">
            <v>0</v>
          </cell>
          <cell r="J124">
            <v>468459</v>
          </cell>
        </row>
        <row r="125">
          <cell r="A125" t="str">
            <v>2-1-01-03-002  OBLIG LEASING VEHICULOS  CP 2</v>
          </cell>
          <cell r="B125">
            <v>3030244</v>
          </cell>
          <cell r="C125">
            <v>142568</v>
          </cell>
          <cell r="D125">
            <v>2887676</v>
          </cell>
          <cell r="E125">
            <v>0</v>
          </cell>
          <cell r="F125">
            <v>2887676</v>
          </cell>
          <cell r="G125">
            <v>0</v>
          </cell>
          <cell r="H125">
            <v>0</v>
          </cell>
          <cell r="I125">
            <v>0</v>
          </cell>
          <cell r="J125">
            <v>-2887676</v>
          </cell>
        </row>
        <row r="126">
          <cell r="A126" t="str">
            <v>2-1-02-01-005  MUTUOS POR PAGAR</v>
          </cell>
          <cell r="B126">
            <v>0</v>
          </cell>
          <cell r="C126">
            <v>10216241</v>
          </cell>
          <cell r="D126">
            <v>0</v>
          </cell>
          <cell r="E126">
            <v>10216241</v>
          </cell>
          <cell r="F126">
            <v>0</v>
          </cell>
          <cell r="G126">
            <v>10216241</v>
          </cell>
          <cell r="H126">
            <v>0</v>
          </cell>
          <cell r="I126">
            <v>0</v>
          </cell>
          <cell r="J126">
            <v>10216241</v>
          </cell>
        </row>
        <row r="127">
          <cell r="A127" t="str">
            <v>2-1-02-01-008  REMUNERACIONES POR PAGAR (2)</v>
          </cell>
          <cell r="B127">
            <v>129799255</v>
          </cell>
          <cell r="C127">
            <v>129799255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</row>
        <row r="128">
          <cell r="A128" t="str">
            <v>2-1-02-01-009  CUENTA POR PAGAR INVERSIONES NUEVA SANTA FIDELMIRA LIMITADA</v>
          </cell>
          <cell r="B128">
            <v>120763</v>
          </cell>
          <cell r="C128">
            <v>212843435</v>
          </cell>
          <cell r="D128">
            <v>0</v>
          </cell>
          <cell r="E128">
            <v>212722672</v>
          </cell>
          <cell r="F128">
            <v>0</v>
          </cell>
          <cell r="G128">
            <v>212722672</v>
          </cell>
          <cell r="H128">
            <v>0</v>
          </cell>
          <cell r="I128">
            <v>0</v>
          </cell>
          <cell r="J128">
            <v>212722672</v>
          </cell>
        </row>
        <row r="129">
          <cell r="A129" t="str">
            <v>2-1-02-01-010  Cuenta por pagar Constructora ERG</v>
          </cell>
          <cell r="B129">
            <v>16666</v>
          </cell>
          <cell r="C129">
            <v>0</v>
          </cell>
          <cell r="D129">
            <v>16666</v>
          </cell>
          <cell r="E129">
            <v>0</v>
          </cell>
          <cell r="F129">
            <v>16666</v>
          </cell>
          <cell r="G129">
            <v>0</v>
          </cell>
          <cell r="H129">
            <v>0</v>
          </cell>
          <cell r="I129">
            <v>0</v>
          </cell>
          <cell r="J129">
            <v>-16666</v>
          </cell>
        </row>
        <row r="130">
          <cell r="A130" t="str">
            <v>2-1-03-01-001  GARANTIAS RECIBIDAS ARRENDATARIOS (CLP)</v>
          </cell>
          <cell r="B130">
            <v>1331494</v>
          </cell>
          <cell r="C130">
            <v>1331494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</row>
        <row r="131">
          <cell r="A131" t="str">
            <v>2-1-03-01-002  GARANTIAS RECIBIDAS ARRENDATARIOS (UF)</v>
          </cell>
          <cell r="B131">
            <v>198718350</v>
          </cell>
          <cell r="C131">
            <v>199819951</v>
          </cell>
          <cell r="D131">
            <v>0</v>
          </cell>
          <cell r="E131">
            <v>1101601</v>
          </cell>
          <cell r="F131">
            <v>0</v>
          </cell>
          <cell r="G131">
            <v>1101601</v>
          </cell>
          <cell r="H131">
            <v>0</v>
          </cell>
          <cell r="I131">
            <v>0</v>
          </cell>
          <cell r="J131">
            <v>1101601</v>
          </cell>
        </row>
        <row r="132">
          <cell r="A132" t="str">
            <v>2-1-03-01-008  CTA X PAGAR ISF DOLAR</v>
          </cell>
          <cell r="B132">
            <v>29503595</v>
          </cell>
          <cell r="C132">
            <v>0</v>
          </cell>
          <cell r="D132">
            <v>29503595</v>
          </cell>
          <cell r="E132">
            <v>0</v>
          </cell>
          <cell r="F132">
            <v>29503595</v>
          </cell>
          <cell r="G132">
            <v>0</v>
          </cell>
          <cell r="H132">
            <v>0</v>
          </cell>
          <cell r="I132">
            <v>0</v>
          </cell>
          <cell r="J132">
            <v>-29503595</v>
          </cell>
        </row>
        <row r="133">
          <cell r="A133" t="str">
            <v>2-1-03-01-009  BOLETA GARANTIAS LOCATARIOS (ORDEN)</v>
          </cell>
          <cell r="B133">
            <v>67786459</v>
          </cell>
          <cell r="C133">
            <v>69609386</v>
          </cell>
          <cell r="D133">
            <v>0</v>
          </cell>
          <cell r="E133">
            <v>1822927</v>
          </cell>
          <cell r="F133">
            <v>0</v>
          </cell>
          <cell r="G133">
            <v>1822927</v>
          </cell>
          <cell r="H133">
            <v>0</v>
          </cell>
          <cell r="I133">
            <v>0</v>
          </cell>
          <cell r="J133">
            <v>1822927</v>
          </cell>
        </row>
        <row r="134">
          <cell r="A134" t="str">
            <v>2-1-03-02-001  ANTICIPO DE CLIENTES</v>
          </cell>
          <cell r="B134">
            <v>1297745</v>
          </cell>
          <cell r="C134">
            <v>309226</v>
          </cell>
          <cell r="D134">
            <v>988519</v>
          </cell>
          <cell r="E134">
            <v>0</v>
          </cell>
          <cell r="F134">
            <v>988519</v>
          </cell>
          <cell r="G134">
            <v>0</v>
          </cell>
          <cell r="H134">
            <v>0</v>
          </cell>
          <cell r="I134">
            <v>0</v>
          </cell>
          <cell r="J134">
            <v>-988519</v>
          </cell>
        </row>
        <row r="135">
          <cell r="A135" t="str">
            <v>2-1-04-01-001  IVA DEBITO FISCAL</v>
          </cell>
          <cell r="B135">
            <v>161156354</v>
          </cell>
          <cell r="C135">
            <v>161156354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</row>
        <row r="136">
          <cell r="A136" t="str">
            <v>2-1-04-01-002  IMPUESTO UNICO</v>
          </cell>
          <cell r="B136">
            <v>36887557</v>
          </cell>
          <cell r="C136">
            <v>56885878</v>
          </cell>
          <cell r="D136">
            <v>0</v>
          </cell>
          <cell r="E136">
            <v>19998321</v>
          </cell>
          <cell r="F136">
            <v>0</v>
          </cell>
          <cell r="G136">
            <v>19998321</v>
          </cell>
          <cell r="H136">
            <v>0</v>
          </cell>
          <cell r="I136">
            <v>0</v>
          </cell>
          <cell r="J136">
            <v>19998321</v>
          </cell>
        </row>
        <row r="137">
          <cell r="A137" t="str">
            <v>2-1-04-01-003  IMPUESTO 2° CATEGORIA</v>
          </cell>
          <cell r="B137">
            <v>1876568</v>
          </cell>
          <cell r="C137">
            <v>1348668</v>
          </cell>
          <cell r="D137">
            <v>527900</v>
          </cell>
          <cell r="E137">
            <v>0</v>
          </cell>
          <cell r="F137">
            <v>527900</v>
          </cell>
          <cell r="G137">
            <v>0</v>
          </cell>
          <cell r="H137">
            <v>0</v>
          </cell>
          <cell r="I137">
            <v>0</v>
          </cell>
          <cell r="J137">
            <v>-527900</v>
          </cell>
        </row>
        <row r="138">
          <cell r="A138" t="str">
            <v>2-1-04-01-004  IMPUESTOS POR PAGAR</v>
          </cell>
          <cell r="B138">
            <v>58411991</v>
          </cell>
          <cell r="C138">
            <v>21380992</v>
          </cell>
          <cell r="D138">
            <v>37030999</v>
          </cell>
          <cell r="E138">
            <v>0</v>
          </cell>
          <cell r="F138">
            <v>37030999</v>
          </cell>
          <cell r="G138">
            <v>0</v>
          </cell>
          <cell r="H138">
            <v>0</v>
          </cell>
          <cell r="I138">
            <v>0</v>
          </cell>
          <cell r="J138">
            <v>-37030999</v>
          </cell>
        </row>
        <row r="139">
          <cell r="A139" t="str">
            <v>2-1-04-01-005  IMPOSICIONES POR PAGAR</v>
          </cell>
          <cell r="B139">
            <v>11695094</v>
          </cell>
          <cell r="C139">
            <v>11879562</v>
          </cell>
          <cell r="D139">
            <v>0</v>
          </cell>
          <cell r="E139">
            <v>184468</v>
          </cell>
          <cell r="F139">
            <v>0</v>
          </cell>
          <cell r="G139">
            <v>184468</v>
          </cell>
          <cell r="H139">
            <v>0</v>
          </cell>
          <cell r="I139">
            <v>0</v>
          </cell>
          <cell r="J139">
            <v>184468</v>
          </cell>
        </row>
        <row r="140">
          <cell r="A140" t="str">
            <v>2-1-06-01-001  PROVEEDORES 2</v>
          </cell>
          <cell r="B140">
            <v>1783404147</v>
          </cell>
          <cell r="C140">
            <v>1941039198</v>
          </cell>
          <cell r="D140">
            <v>0</v>
          </cell>
          <cell r="E140">
            <v>157635051</v>
          </cell>
          <cell r="F140">
            <v>0</v>
          </cell>
          <cell r="G140">
            <v>157635051</v>
          </cell>
          <cell r="H140">
            <v>0</v>
          </cell>
          <cell r="I140">
            <v>0</v>
          </cell>
          <cell r="J140">
            <v>157635051</v>
          </cell>
        </row>
        <row r="141">
          <cell r="A141" t="str">
            <v>2-1-06-01-002  HONORARIOS POR PAGAR 2</v>
          </cell>
          <cell r="B141">
            <v>12533700</v>
          </cell>
          <cell r="C141">
            <v>8099002</v>
          </cell>
          <cell r="D141">
            <v>4434698</v>
          </cell>
          <cell r="E141">
            <v>0</v>
          </cell>
          <cell r="F141">
            <v>4434698</v>
          </cell>
          <cell r="G141">
            <v>0</v>
          </cell>
          <cell r="H141">
            <v>0</v>
          </cell>
          <cell r="I141">
            <v>0</v>
          </cell>
          <cell r="J141">
            <v>-4434698</v>
          </cell>
        </row>
        <row r="142">
          <cell r="A142" t="str">
            <v>2-1-06-01-006  CHEQUES GIRADOS POR PAGAR 2</v>
          </cell>
          <cell r="B142">
            <v>541104270</v>
          </cell>
          <cell r="C142">
            <v>735657951</v>
          </cell>
          <cell r="D142">
            <v>0</v>
          </cell>
          <cell r="E142">
            <v>194553681</v>
          </cell>
          <cell r="F142">
            <v>0</v>
          </cell>
          <cell r="G142">
            <v>194553681</v>
          </cell>
          <cell r="H142">
            <v>0</v>
          </cell>
          <cell r="I142">
            <v>0</v>
          </cell>
          <cell r="J142">
            <v>194553681</v>
          </cell>
        </row>
        <row r="143">
          <cell r="A143" t="str">
            <v>2-1-06-01-007  SEGURO SALUD COMPLEMENTARIO</v>
          </cell>
          <cell r="B143">
            <v>297327</v>
          </cell>
          <cell r="C143">
            <v>297327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A144" t="str">
            <v>2-2-01-01-004  PRESTAMO  BCO INTERNACIONAL LP M$600</v>
          </cell>
          <cell r="B144">
            <v>29596668</v>
          </cell>
          <cell r="C144">
            <v>0</v>
          </cell>
          <cell r="D144">
            <v>29596668</v>
          </cell>
          <cell r="E144">
            <v>0</v>
          </cell>
          <cell r="F144">
            <v>29596668</v>
          </cell>
          <cell r="G144">
            <v>0</v>
          </cell>
          <cell r="H144">
            <v>0</v>
          </cell>
          <cell r="I144">
            <v>0</v>
          </cell>
          <cell r="J144">
            <v>-29596668</v>
          </cell>
        </row>
        <row r="145">
          <cell r="A145" t="str">
            <v>2-2-01-01-005  PRESTAMO  BCO INTERNACIONAL LP M$1.000</v>
          </cell>
          <cell r="B145">
            <v>15312329</v>
          </cell>
          <cell r="C145">
            <v>0</v>
          </cell>
          <cell r="D145">
            <v>15312329</v>
          </cell>
          <cell r="E145">
            <v>0</v>
          </cell>
          <cell r="F145">
            <v>15312329</v>
          </cell>
          <cell r="G145">
            <v>0</v>
          </cell>
          <cell r="H145">
            <v>0</v>
          </cell>
          <cell r="I145">
            <v>0</v>
          </cell>
          <cell r="J145">
            <v>-15312329</v>
          </cell>
        </row>
        <row r="146">
          <cell r="A146" t="str">
            <v>2-2-01-02-005  OBLIG. LEASING 11 ORIENTE 1550 L/PLAZO</v>
          </cell>
          <cell r="B146">
            <v>6734990</v>
          </cell>
          <cell r="C146">
            <v>0</v>
          </cell>
          <cell r="D146">
            <v>6734990</v>
          </cell>
          <cell r="E146">
            <v>0</v>
          </cell>
          <cell r="F146">
            <v>6734990</v>
          </cell>
          <cell r="G146">
            <v>0</v>
          </cell>
          <cell r="H146">
            <v>0</v>
          </cell>
          <cell r="I146">
            <v>0</v>
          </cell>
          <cell r="J146">
            <v>-6734990</v>
          </cell>
        </row>
        <row r="147">
          <cell r="A147" t="str">
            <v>2-2-01-02-006  OBLIG. LEASING MAIPU 556 L/PLAZO</v>
          </cell>
          <cell r="B147">
            <v>5960676</v>
          </cell>
          <cell r="C147">
            <v>0</v>
          </cell>
          <cell r="D147">
            <v>5960676</v>
          </cell>
          <cell r="E147">
            <v>0</v>
          </cell>
          <cell r="F147">
            <v>5960676</v>
          </cell>
          <cell r="G147">
            <v>0</v>
          </cell>
          <cell r="H147">
            <v>0</v>
          </cell>
          <cell r="I147">
            <v>0</v>
          </cell>
          <cell r="J147">
            <v>-5960676</v>
          </cell>
        </row>
        <row r="148">
          <cell r="A148" t="str">
            <v>2-2-01-02-007  OBLIG. LEASING BRASIL 648 L/PLAZO</v>
          </cell>
          <cell r="B148">
            <v>4569851</v>
          </cell>
          <cell r="C148">
            <v>0</v>
          </cell>
          <cell r="D148">
            <v>4569851</v>
          </cell>
          <cell r="E148">
            <v>0</v>
          </cell>
          <cell r="F148">
            <v>4569851</v>
          </cell>
          <cell r="G148">
            <v>0</v>
          </cell>
          <cell r="H148">
            <v>0</v>
          </cell>
          <cell r="I148">
            <v>0</v>
          </cell>
          <cell r="J148">
            <v>-4569851</v>
          </cell>
        </row>
        <row r="149">
          <cell r="A149" t="str">
            <v>2-2-01-02-008  OBLIG. LEASING VIAL 224 L/PLAZO</v>
          </cell>
          <cell r="B149">
            <v>5463952</v>
          </cell>
          <cell r="C149">
            <v>0</v>
          </cell>
          <cell r="D149">
            <v>5463952</v>
          </cell>
          <cell r="E149">
            <v>0</v>
          </cell>
          <cell r="F149">
            <v>5463952</v>
          </cell>
          <cell r="G149">
            <v>0</v>
          </cell>
          <cell r="H149">
            <v>0</v>
          </cell>
          <cell r="I149">
            <v>0</v>
          </cell>
          <cell r="J149">
            <v>-5463952</v>
          </cell>
        </row>
        <row r="150">
          <cell r="A150" t="str">
            <v>2-2-01-02-009  OBLIG. LEASING TALCA COLIN L/PLAZO</v>
          </cell>
          <cell r="B150">
            <v>53210258</v>
          </cell>
          <cell r="C150">
            <v>0</v>
          </cell>
          <cell r="D150">
            <v>53210258</v>
          </cell>
          <cell r="E150">
            <v>0</v>
          </cell>
          <cell r="F150">
            <v>53210258</v>
          </cell>
          <cell r="G150">
            <v>0</v>
          </cell>
          <cell r="H150">
            <v>0</v>
          </cell>
          <cell r="I150">
            <v>0</v>
          </cell>
          <cell r="J150">
            <v>-53210258</v>
          </cell>
        </row>
        <row r="151">
          <cell r="A151" t="str">
            <v>2-2-01-02-010  OBLIG.LEASING  VALPO L/P</v>
          </cell>
          <cell r="B151">
            <v>24762678</v>
          </cell>
          <cell r="C151">
            <v>0</v>
          </cell>
          <cell r="D151">
            <v>24762678</v>
          </cell>
          <cell r="E151">
            <v>0</v>
          </cell>
          <cell r="F151">
            <v>24762678</v>
          </cell>
          <cell r="G151">
            <v>0</v>
          </cell>
          <cell r="H151">
            <v>0</v>
          </cell>
          <cell r="I151">
            <v>0</v>
          </cell>
          <cell r="J151">
            <v>-24762678</v>
          </cell>
        </row>
        <row r="152">
          <cell r="A152" t="str">
            <v>2-2-01-02-011  OBLIG.LEASING CAUQUENES  L/P</v>
          </cell>
          <cell r="B152">
            <v>10381166</v>
          </cell>
          <cell r="C152">
            <v>0</v>
          </cell>
          <cell r="D152">
            <v>10381166</v>
          </cell>
          <cell r="E152">
            <v>0</v>
          </cell>
          <cell r="F152">
            <v>10381166</v>
          </cell>
          <cell r="G152">
            <v>0</v>
          </cell>
          <cell r="H152">
            <v>0</v>
          </cell>
          <cell r="I152">
            <v>0</v>
          </cell>
          <cell r="J152">
            <v>-10381166</v>
          </cell>
        </row>
        <row r="153">
          <cell r="A153" t="str">
            <v>2-2-01-02-012  OBLIGAC. LEASING OUTLET L/P</v>
          </cell>
          <cell r="B153">
            <v>94240201</v>
          </cell>
          <cell r="C153">
            <v>0</v>
          </cell>
          <cell r="D153">
            <v>94240201</v>
          </cell>
          <cell r="E153">
            <v>0</v>
          </cell>
          <cell r="F153">
            <v>94240201</v>
          </cell>
          <cell r="G153">
            <v>0</v>
          </cell>
          <cell r="H153">
            <v>0</v>
          </cell>
          <cell r="I153">
            <v>0</v>
          </cell>
          <cell r="J153">
            <v>-94240201</v>
          </cell>
        </row>
        <row r="154">
          <cell r="A154" t="str">
            <v>2-2-01-02-013  OBLIG LEASING VEHICULOS LP</v>
          </cell>
          <cell r="B154">
            <v>721574</v>
          </cell>
          <cell r="C154">
            <v>0</v>
          </cell>
          <cell r="D154">
            <v>721574</v>
          </cell>
          <cell r="E154">
            <v>0</v>
          </cell>
          <cell r="F154">
            <v>721574</v>
          </cell>
          <cell r="G154">
            <v>0</v>
          </cell>
          <cell r="H154">
            <v>0</v>
          </cell>
          <cell r="I154">
            <v>0</v>
          </cell>
          <cell r="J154">
            <v>-721574</v>
          </cell>
        </row>
        <row r="155">
          <cell r="A155" t="str">
            <v>2-2-01-02-014  OBLIG HIPOTECARIO LOS MORRO LP</v>
          </cell>
          <cell r="B155">
            <v>28002824</v>
          </cell>
          <cell r="C155">
            <v>0</v>
          </cell>
          <cell r="D155">
            <v>28002824</v>
          </cell>
          <cell r="E155">
            <v>0</v>
          </cell>
          <cell r="F155">
            <v>28002824</v>
          </cell>
          <cell r="G155">
            <v>0</v>
          </cell>
          <cell r="H155">
            <v>0</v>
          </cell>
          <cell r="I155">
            <v>0</v>
          </cell>
          <cell r="J155">
            <v>-28002824</v>
          </cell>
        </row>
        <row r="156">
          <cell r="A156" t="str">
            <v>3-2-01-01-002  RESULTADOS ACUMULADOS</v>
          </cell>
          <cell r="B156">
            <v>221226889</v>
          </cell>
          <cell r="C156">
            <v>198718350</v>
          </cell>
          <cell r="D156">
            <v>22508539</v>
          </cell>
          <cell r="E156">
            <v>0</v>
          </cell>
          <cell r="F156">
            <v>22508539</v>
          </cell>
          <cell r="G156">
            <v>0</v>
          </cell>
          <cell r="H156">
            <v>0</v>
          </cell>
          <cell r="I156">
            <v>0</v>
          </cell>
          <cell r="J156">
            <v>-22508539</v>
          </cell>
        </row>
        <row r="157">
          <cell r="A157" t="str">
            <v>4-1-01-01-001  ARRIENDO FIJO</v>
          </cell>
          <cell r="B157">
            <v>21770045</v>
          </cell>
          <cell r="C157">
            <v>789089711</v>
          </cell>
          <cell r="D157">
            <v>0</v>
          </cell>
          <cell r="E157">
            <v>767319666</v>
          </cell>
          <cell r="F157">
            <v>0</v>
          </cell>
          <cell r="G157">
            <v>0</v>
          </cell>
          <cell r="H157">
            <v>0</v>
          </cell>
          <cell r="I157">
            <v>767319666</v>
          </cell>
          <cell r="J157">
            <v>767319666</v>
          </cell>
        </row>
        <row r="158">
          <cell r="A158" t="str">
            <v>4-1-01-01-002  ARRIENDO VARIABLE</v>
          </cell>
          <cell r="B158">
            <v>121826184</v>
          </cell>
          <cell r="C158">
            <v>239906831</v>
          </cell>
          <cell r="D158">
            <v>0</v>
          </cell>
          <cell r="E158">
            <v>118080647</v>
          </cell>
          <cell r="F158">
            <v>0</v>
          </cell>
          <cell r="G158">
            <v>0</v>
          </cell>
          <cell r="H158">
            <v>0</v>
          </cell>
          <cell r="I158">
            <v>118080647</v>
          </cell>
          <cell r="J158">
            <v>118080647</v>
          </cell>
        </row>
        <row r="159">
          <cell r="A159" t="str">
            <v>4-1-01-01-005  CONSUMOS DE AGUAS</v>
          </cell>
          <cell r="B159">
            <v>10177272</v>
          </cell>
          <cell r="C159">
            <v>19254266</v>
          </cell>
          <cell r="D159">
            <v>0</v>
          </cell>
          <cell r="E159">
            <v>9076994</v>
          </cell>
          <cell r="F159">
            <v>0</v>
          </cell>
          <cell r="G159">
            <v>0</v>
          </cell>
          <cell r="H159">
            <v>0</v>
          </cell>
          <cell r="I159">
            <v>9076994</v>
          </cell>
          <cell r="J159">
            <v>9076994</v>
          </cell>
        </row>
        <row r="160">
          <cell r="A160" t="str">
            <v>4-1-01-01-006  CONSUMOS DE LUZ</v>
          </cell>
          <cell r="B160">
            <v>2727717</v>
          </cell>
          <cell r="C160">
            <v>115805403</v>
          </cell>
          <cell r="D160">
            <v>0</v>
          </cell>
          <cell r="E160">
            <v>113077686</v>
          </cell>
          <cell r="F160">
            <v>0</v>
          </cell>
          <cell r="G160">
            <v>0</v>
          </cell>
          <cell r="H160">
            <v>0</v>
          </cell>
          <cell r="I160">
            <v>113077686</v>
          </cell>
          <cell r="J160">
            <v>113077686</v>
          </cell>
        </row>
        <row r="161">
          <cell r="A161" t="str">
            <v>4-1-01-01-007  CONSUMOS DE GAS</v>
          </cell>
          <cell r="B161">
            <v>0</v>
          </cell>
          <cell r="C161">
            <v>2248972</v>
          </cell>
          <cell r="D161">
            <v>0</v>
          </cell>
          <cell r="E161">
            <v>2248972</v>
          </cell>
          <cell r="F161">
            <v>0</v>
          </cell>
          <cell r="G161">
            <v>0</v>
          </cell>
          <cell r="H161">
            <v>0</v>
          </cell>
          <cell r="I161">
            <v>2248972</v>
          </cell>
          <cell r="J161">
            <v>2248972</v>
          </cell>
        </row>
        <row r="162">
          <cell r="A162" t="str">
            <v>4-1-01-01-008  GASTOS COMUNES</v>
          </cell>
          <cell r="B162">
            <v>88423840</v>
          </cell>
          <cell r="C162">
            <v>174545325</v>
          </cell>
          <cell r="D162">
            <v>0</v>
          </cell>
          <cell r="E162">
            <v>86121485</v>
          </cell>
          <cell r="F162">
            <v>0</v>
          </cell>
          <cell r="G162">
            <v>0</v>
          </cell>
          <cell r="H162">
            <v>0</v>
          </cell>
          <cell r="I162">
            <v>86121485</v>
          </cell>
          <cell r="J162">
            <v>86121485</v>
          </cell>
        </row>
        <row r="163">
          <cell r="A163" t="str">
            <v>4-1-01-01-011  DEVOLUCION DE CONTRIBUCIONES</v>
          </cell>
          <cell r="B163">
            <v>0</v>
          </cell>
          <cell r="C163">
            <v>18483</v>
          </cell>
          <cell r="D163">
            <v>0</v>
          </cell>
          <cell r="E163">
            <v>18483</v>
          </cell>
          <cell r="F163">
            <v>0</v>
          </cell>
          <cell r="G163">
            <v>0</v>
          </cell>
          <cell r="H163">
            <v>0</v>
          </cell>
          <cell r="I163">
            <v>18483</v>
          </cell>
          <cell r="J163">
            <v>18483</v>
          </cell>
        </row>
        <row r="164">
          <cell r="A164" t="str">
            <v>4-1-01-01-013  VARIOS</v>
          </cell>
          <cell r="B164">
            <v>102915</v>
          </cell>
          <cell r="C164">
            <v>171530</v>
          </cell>
          <cell r="D164">
            <v>0</v>
          </cell>
          <cell r="E164">
            <v>68615</v>
          </cell>
          <cell r="F164">
            <v>0</v>
          </cell>
          <cell r="G164">
            <v>0</v>
          </cell>
          <cell r="H164">
            <v>0</v>
          </cell>
          <cell r="I164">
            <v>68615</v>
          </cell>
          <cell r="J164">
            <v>68615</v>
          </cell>
        </row>
        <row r="165">
          <cell r="A165" t="str">
            <v>4-1-01-01-015  INGRESO VARIABLE FONDO PROMOCIÓN</v>
          </cell>
          <cell r="B165">
            <v>0</v>
          </cell>
          <cell r="C165">
            <v>1103780</v>
          </cell>
          <cell r="D165">
            <v>0</v>
          </cell>
          <cell r="E165">
            <v>1103780</v>
          </cell>
          <cell r="F165">
            <v>0</v>
          </cell>
          <cell r="G165">
            <v>0</v>
          </cell>
          <cell r="H165">
            <v>0</v>
          </cell>
          <cell r="I165">
            <v>1103780</v>
          </cell>
          <cell r="J165">
            <v>1103780</v>
          </cell>
        </row>
        <row r="166">
          <cell r="A166" t="str">
            <v>4-2-01-01-003  DIVIDENDOS RIACHUELO</v>
          </cell>
          <cell r="B166">
            <v>0</v>
          </cell>
          <cell r="C166">
            <v>10000000</v>
          </cell>
          <cell r="D166">
            <v>0</v>
          </cell>
          <cell r="E166">
            <v>10000000</v>
          </cell>
          <cell r="F166">
            <v>0</v>
          </cell>
          <cell r="G166">
            <v>0</v>
          </cell>
          <cell r="H166">
            <v>0</v>
          </cell>
          <cell r="I166">
            <v>10000000</v>
          </cell>
          <cell r="J166">
            <v>10000000</v>
          </cell>
        </row>
        <row r="167">
          <cell r="A167" t="str">
            <v>4-2-01-01-004  INTERESES DAP</v>
          </cell>
          <cell r="B167">
            <v>0</v>
          </cell>
          <cell r="C167">
            <v>2528598</v>
          </cell>
          <cell r="D167">
            <v>0</v>
          </cell>
          <cell r="E167">
            <v>2528598</v>
          </cell>
          <cell r="F167">
            <v>0</v>
          </cell>
          <cell r="G167">
            <v>0</v>
          </cell>
          <cell r="H167">
            <v>0</v>
          </cell>
          <cell r="I167">
            <v>2528598</v>
          </cell>
          <cell r="J167">
            <v>2528598</v>
          </cell>
        </row>
        <row r="168">
          <cell r="A168" t="str">
            <v>4-2-01-01-005  INTERESES DE PAGARE</v>
          </cell>
          <cell r="B168">
            <v>0</v>
          </cell>
          <cell r="C168">
            <v>6413276</v>
          </cell>
          <cell r="D168">
            <v>0</v>
          </cell>
          <cell r="E168">
            <v>6413276</v>
          </cell>
          <cell r="F168">
            <v>0</v>
          </cell>
          <cell r="G168">
            <v>0</v>
          </cell>
          <cell r="H168">
            <v>0</v>
          </cell>
          <cell r="I168">
            <v>6413276</v>
          </cell>
          <cell r="J168">
            <v>6413276</v>
          </cell>
        </row>
        <row r="169">
          <cell r="A169" t="str">
            <v>4-2-01-01-006  INTERESES DAP US$ BCI</v>
          </cell>
          <cell r="B169">
            <v>0</v>
          </cell>
          <cell r="C169">
            <v>676005</v>
          </cell>
          <cell r="D169">
            <v>0</v>
          </cell>
          <cell r="E169">
            <v>676005</v>
          </cell>
          <cell r="F169">
            <v>0</v>
          </cell>
          <cell r="G169">
            <v>0</v>
          </cell>
          <cell r="H169">
            <v>0</v>
          </cell>
          <cell r="I169">
            <v>676005</v>
          </cell>
          <cell r="J169">
            <v>676005</v>
          </cell>
        </row>
        <row r="170">
          <cell r="A170" t="str">
            <v>4-2-01-01-010  DIVIDENDOS ACCIONARIO BTG</v>
          </cell>
          <cell r="B170">
            <v>0</v>
          </cell>
          <cell r="C170">
            <v>8000000</v>
          </cell>
          <cell r="D170">
            <v>0</v>
          </cell>
          <cell r="E170">
            <v>8000000</v>
          </cell>
          <cell r="F170">
            <v>0</v>
          </cell>
          <cell r="G170">
            <v>0</v>
          </cell>
          <cell r="H170">
            <v>0</v>
          </cell>
          <cell r="I170">
            <v>8000000</v>
          </cell>
          <cell r="J170">
            <v>8000000</v>
          </cell>
        </row>
        <row r="171">
          <cell r="A171" t="str">
            <v>4-2-01-02-008  ARQUITEC Y HABILITACION  LOCALES</v>
          </cell>
          <cell r="B171">
            <v>0</v>
          </cell>
          <cell r="C171">
            <v>1583097</v>
          </cell>
          <cell r="D171">
            <v>0</v>
          </cell>
          <cell r="E171">
            <v>1583097</v>
          </cell>
          <cell r="F171">
            <v>0</v>
          </cell>
          <cell r="G171">
            <v>0</v>
          </cell>
          <cell r="H171">
            <v>0</v>
          </cell>
          <cell r="I171">
            <v>1583097</v>
          </cell>
          <cell r="J171">
            <v>1583097</v>
          </cell>
        </row>
        <row r="172">
          <cell r="A172" t="str">
            <v>4-2-01-02-009  INGRESOS POR INTERESES MUTUOS EWA</v>
          </cell>
          <cell r="B172">
            <v>0</v>
          </cell>
          <cell r="C172">
            <v>167598</v>
          </cell>
          <cell r="D172">
            <v>0</v>
          </cell>
          <cell r="E172">
            <v>167598</v>
          </cell>
          <cell r="F172">
            <v>0</v>
          </cell>
          <cell r="G172">
            <v>0</v>
          </cell>
          <cell r="H172">
            <v>0</v>
          </cell>
          <cell r="I172">
            <v>167598</v>
          </cell>
          <cell r="J172">
            <v>167598</v>
          </cell>
        </row>
        <row r="173">
          <cell r="A173" t="str">
            <v>5-1-01-01-001  SERVICIOS DE GUARDIAS</v>
          </cell>
          <cell r="B173">
            <v>72781738</v>
          </cell>
          <cell r="C173">
            <v>0</v>
          </cell>
          <cell r="D173">
            <v>72781738</v>
          </cell>
          <cell r="E173">
            <v>0</v>
          </cell>
          <cell r="F173">
            <v>0</v>
          </cell>
          <cell r="G173">
            <v>0</v>
          </cell>
          <cell r="H173">
            <v>72781738</v>
          </cell>
          <cell r="I173">
            <v>0</v>
          </cell>
          <cell r="J173">
            <v>-72781738</v>
          </cell>
        </row>
        <row r="174">
          <cell r="A174" t="str">
            <v>5-1-01-01-005  ARTICULOS DE SEGURIDAD</v>
          </cell>
          <cell r="B174">
            <v>257499</v>
          </cell>
          <cell r="C174">
            <v>0</v>
          </cell>
          <cell r="D174">
            <v>257499</v>
          </cell>
          <cell r="E174">
            <v>0</v>
          </cell>
          <cell r="F174">
            <v>0</v>
          </cell>
          <cell r="G174">
            <v>0</v>
          </cell>
          <cell r="H174">
            <v>257499</v>
          </cell>
          <cell r="I174">
            <v>0</v>
          </cell>
          <cell r="J174">
            <v>-257499</v>
          </cell>
        </row>
        <row r="175">
          <cell r="A175" t="str">
            <v>5-1-01-02-002  INSUMOS BANOS</v>
          </cell>
          <cell r="B175">
            <v>1249974</v>
          </cell>
          <cell r="C175">
            <v>53030</v>
          </cell>
          <cell r="D175">
            <v>1196944</v>
          </cell>
          <cell r="E175">
            <v>0</v>
          </cell>
          <cell r="F175">
            <v>0</v>
          </cell>
          <cell r="G175">
            <v>0</v>
          </cell>
          <cell r="H175">
            <v>1196944</v>
          </cell>
          <cell r="I175">
            <v>0</v>
          </cell>
          <cell r="J175">
            <v>-1196944</v>
          </cell>
        </row>
        <row r="176">
          <cell r="A176" t="str">
            <v>5-1-01-02-003  RETIRO BASURA O ESCOMBROS</v>
          </cell>
          <cell r="B176">
            <v>1069948</v>
          </cell>
          <cell r="C176">
            <v>0</v>
          </cell>
          <cell r="D176">
            <v>1069948</v>
          </cell>
          <cell r="E176">
            <v>0</v>
          </cell>
          <cell r="F176">
            <v>0</v>
          </cell>
          <cell r="G176">
            <v>0</v>
          </cell>
          <cell r="H176">
            <v>1069948</v>
          </cell>
          <cell r="I176">
            <v>0</v>
          </cell>
          <cell r="J176">
            <v>-1069948</v>
          </cell>
        </row>
        <row r="177">
          <cell r="A177" t="str">
            <v>5-1-01-02-006  ARTIUCLOS DE ASEO</v>
          </cell>
          <cell r="B177">
            <v>41463</v>
          </cell>
          <cell r="C177">
            <v>0</v>
          </cell>
          <cell r="D177">
            <v>41463</v>
          </cell>
          <cell r="E177">
            <v>0</v>
          </cell>
          <cell r="F177">
            <v>0</v>
          </cell>
          <cell r="G177">
            <v>0</v>
          </cell>
          <cell r="H177">
            <v>41463</v>
          </cell>
          <cell r="I177">
            <v>0</v>
          </cell>
          <cell r="J177">
            <v>-41463</v>
          </cell>
        </row>
        <row r="178">
          <cell r="A178" t="str">
            <v>5-1-01-03-001  SERVICIOS DE JARDINES Y PAISAJISMO</v>
          </cell>
          <cell r="B178">
            <v>1296430</v>
          </cell>
          <cell r="C178">
            <v>0</v>
          </cell>
          <cell r="D178">
            <v>1296430</v>
          </cell>
          <cell r="E178">
            <v>0</v>
          </cell>
          <cell r="F178">
            <v>0</v>
          </cell>
          <cell r="G178">
            <v>0</v>
          </cell>
          <cell r="H178">
            <v>1296430</v>
          </cell>
          <cell r="I178">
            <v>0</v>
          </cell>
          <cell r="J178">
            <v>-1296430</v>
          </cell>
        </row>
        <row r="179">
          <cell r="A179" t="str">
            <v>5-1-01-03-003  CONTROL DE PLAGAS</v>
          </cell>
          <cell r="B179">
            <v>1881364</v>
          </cell>
          <cell r="C179">
            <v>0</v>
          </cell>
          <cell r="D179">
            <v>1881364</v>
          </cell>
          <cell r="E179">
            <v>0</v>
          </cell>
          <cell r="F179">
            <v>0</v>
          </cell>
          <cell r="G179">
            <v>0</v>
          </cell>
          <cell r="H179">
            <v>1881364</v>
          </cell>
          <cell r="I179">
            <v>0</v>
          </cell>
          <cell r="J179">
            <v>-1881364</v>
          </cell>
        </row>
        <row r="180">
          <cell r="A180" t="str">
            <v>5-1-01-04-001  MANTENCION TRANSPORTE VERTICAL</v>
          </cell>
          <cell r="B180">
            <v>368608</v>
          </cell>
          <cell r="C180">
            <v>0</v>
          </cell>
          <cell r="D180">
            <v>368608</v>
          </cell>
          <cell r="E180">
            <v>0</v>
          </cell>
          <cell r="F180">
            <v>0</v>
          </cell>
          <cell r="G180">
            <v>0</v>
          </cell>
          <cell r="H180">
            <v>368608</v>
          </cell>
          <cell r="I180">
            <v>0</v>
          </cell>
          <cell r="J180">
            <v>-368608</v>
          </cell>
        </row>
        <row r="181">
          <cell r="A181" t="str">
            <v>5-1-01-04-007  MANTENCION CCTV</v>
          </cell>
          <cell r="B181">
            <v>2968595</v>
          </cell>
          <cell r="C181">
            <v>0</v>
          </cell>
          <cell r="D181">
            <v>2968595</v>
          </cell>
          <cell r="E181">
            <v>0</v>
          </cell>
          <cell r="F181">
            <v>0</v>
          </cell>
          <cell r="G181">
            <v>0</v>
          </cell>
          <cell r="H181">
            <v>2968595</v>
          </cell>
          <cell r="I181">
            <v>0</v>
          </cell>
          <cell r="J181">
            <v>-2968595</v>
          </cell>
        </row>
        <row r="182">
          <cell r="A182" t="str">
            <v>5-1-01-04-008  MANTENCION CLIMA</v>
          </cell>
          <cell r="B182">
            <v>4390000</v>
          </cell>
          <cell r="C182">
            <v>0</v>
          </cell>
          <cell r="D182">
            <v>4390000</v>
          </cell>
          <cell r="E182">
            <v>0</v>
          </cell>
          <cell r="F182">
            <v>0</v>
          </cell>
          <cell r="G182">
            <v>0</v>
          </cell>
          <cell r="H182">
            <v>4390000</v>
          </cell>
          <cell r="I182">
            <v>0</v>
          </cell>
          <cell r="J182">
            <v>-4390000</v>
          </cell>
        </row>
        <row r="183">
          <cell r="A183" t="str">
            <v>5-1-01-04-010  MANTENCION ALCANTARILLADOS</v>
          </cell>
          <cell r="B183">
            <v>829465</v>
          </cell>
          <cell r="C183">
            <v>0</v>
          </cell>
          <cell r="D183">
            <v>829465</v>
          </cell>
          <cell r="E183">
            <v>0</v>
          </cell>
          <cell r="F183">
            <v>0</v>
          </cell>
          <cell r="G183">
            <v>0</v>
          </cell>
          <cell r="H183">
            <v>829465</v>
          </cell>
          <cell r="I183">
            <v>0</v>
          </cell>
          <cell r="J183">
            <v>-829465</v>
          </cell>
        </row>
        <row r="184">
          <cell r="A184" t="str">
            <v>5-1-01-04-011  MANTENCION GENERAL</v>
          </cell>
          <cell r="B184">
            <v>10290261</v>
          </cell>
          <cell r="C184">
            <v>108711</v>
          </cell>
          <cell r="D184">
            <v>10181550</v>
          </cell>
          <cell r="E184">
            <v>0</v>
          </cell>
          <cell r="F184">
            <v>0</v>
          </cell>
          <cell r="G184">
            <v>0</v>
          </cell>
          <cell r="H184">
            <v>10181550</v>
          </cell>
          <cell r="I184">
            <v>0</v>
          </cell>
          <cell r="J184">
            <v>-10181550</v>
          </cell>
        </row>
        <row r="185">
          <cell r="A185" t="str">
            <v>5-1-01-04-013  MANTENCION ELECTRICA</v>
          </cell>
          <cell r="B185">
            <v>1338240</v>
          </cell>
          <cell r="C185">
            <v>0</v>
          </cell>
          <cell r="D185">
            <v>1338240</v>
          </cell>
          <cell r="E185">
            <v>0</v>
          </cell>
          <cell r="F185">
            <v>0</v>
          </cell>
          <cell r="G185">
            <v>0</v>
          </cell>
          <cell r="H185">
            <v>1338240</v>
          </cell>
          <cell r="I185">
            <v>0</v>
          </cell>
          <cell r="J185">
            <v>-1338240</v>
          </cell>
        </row>
        <row r="186">
          <cell r="A186" t="str">
            <v>5-1-01-05-006  COMPRAS PETROLEO GAS BENCINA</v>
          </cell>
          <cell r="B186">
            <v>1637195</v>
          </cell>
          <cell r="C186">
            <v>0</v>
          </cell>
          <cell r="D186">
            <v>1637195</v>
          </cell>
          <cell r="E186">
            <v>0</v>
          </cell>
          <cell r="F186">
            <v>0</v>
          </cell>
          <cell r="G186">
            <v>0</v>
          </cell>
          <cell r="H186">
            <v>1637195</v>
          </cell>
          <cell r="I186">
            <v>0</v>
          </cell>
          <cell r="J186">
            <v>-1637195</v>
          </cell>
        </row>
        <row r="187">
          <cell r="A187" t="str">
            <v>5-1-01-06-001  CONSUMO AGUA COMUN</v>
          </cell>
          <cell r="B187">
            <v>10096914</v>
          </cell>
          <cell r="C187">
            <v>809026</v>
          </cell>
          <cell r="D187">
            <v>9287888</v>
          </cell>
          <cell r="E187">
            <v>0</v>
          </cell>
          <cell r="F187">
            <v>0</v>
          </cell>
          <cell r="G187">
            <v>0</v>
          </cell>
          <cell r="H187">
            <v>9287888</v>
          </cell>
          <cell r="I187">
            <v>0</v>
          </cell>
          <cell r="J187">
            <v>-9287888</v>
          </cell>
        </row>
        <row r="188">
          <cell r="A188" t="str">
            <v>5-1-01-06-002  CONSUMO ENERGIA COMUN</v>
          </cell>
          <cell r="B188">
            <v>220697664</v>
          </cell>
          <cell r="C188">
            <v>478</v>
          </cell>
          <cell r="D188">
            <v>220697186</v>
          </cell>
          <cell r="E188">
            <v>0</v>
          </cell>
          <cell r="F188">
            <v>0</v>
          </cell>
          <cell r="G188">
            <v>0</v>
          </cell>
          <cell r="H188">
            <v>220697186</v>
          </cell>
          <cell r="I188">
            <v>0</v>
          </cell>
          <cell r="J188">
            <v>-220697186</v>
          </cell>
        </row>
        <row r="189">
          <cell r="A189" t="str">
            <v>5-1-01-06-003  GASTO COMUN PROPIO</v>
          </cell>
          <cell r="B189">
            <v>160904</v>
          </cell>
          <cell r="C189">
            <v>0</v>
          </cell>
          <cell r="D189">
            <v>160904</v>
          </cell>
          <cell r="E189">
            <v>0</v>
          </cell>
          <cell r="F189">
            <v>0</v>
          </cell>
          <cell r="G189">
            <v>0</v>
          </cell>
          <cell r="H189">
            <v>160904</v>
          </cell>
          <cell r="I189">
            <v>0</v>
          </cell>
          <cell r="J189">
            <v>-160904</v>
          </cell>
        </row>
        <row r="190">
          <cell r="A190" t="str">
            <v>5-1-01-06-004  SERVICIOS INFORMATICOS DE SISTEMAS</v>
          </cell>
          <cell r="B190">
            <v>2415229</v>
          </cell>
          <cell r="C190">
            <v>0</v>
          </cell>
          <cell r="D190">
            <v>2415229</v>
          </cell>
          <cell r="E190">
            <v>0</v>
          </cell>
          <cell r="F190">
            <v>0</v>
          </cell>
          <cell r="G190">
            <v>0</v>
          </cell>
          <cell r="H190">
            <v>2415229</v>
          </cell>
          <cell r="I190">
            <v>0</v>
          </cell>
          <cell r="J190">
            <v>-2415229</v>
          </cell>
        </row>
        <row r="191">
          <cell r="A191" t="str">
            <v>5-1-01-07-001  TELEFONO</v>
          </cell>
          <cell r="B191">
            <v>280231</v>
          </cell>
          <cell r="C191">
            <v>0</v>
          </cell>
          <cell r="D191">
            <v>280231</v>
          </cell>
          <cell r="E191">
            <v>0</v>
          </cell>
          <cell r="F191">
            <v>0</v>
          </cell>
          <cell r="G191">
            <v>0</v>
          </cell>
          <cell r="H191">
            <v>280231</v>
          </cell>
          <cell r="I191">
            <v>0</v>
          </cell>
          <cell r="J191">
            <v>-280231</v>
          </cell>
        </row>
        <row r="192">
          <cell r="A192" t="str">
            <v>5-1-01-07-002  INTERNET</v>
          </cell>
          <cell r="B192">
            <v>2030557</v>
          </cell>
          <cell r="C192">
            <v>95587</v>
          </cell>
          <cell r="D192">
            <v>1934970</v>
          </cell>
          <cell r="E192">
            <v>0</v>
          </cell>
          <cell r="F192">
            <v>0</v>
          </cell>
          <cell r="G192">
            <v>0</v>
          </cell>
          <cell r="H192">
            <v>1934970</v>
          </cell>
          <cell r="I192">
            <v>0</v>
          </cell>
          <cell r="J192">
            <v>-1934970</v>
          </cell>
        </row>
        <row r="193">
          <cell r="A193" t="str">
            <v>5-1-01-07-005  ARTICULOS DE OFICINA</v>
          </cell>
          <cell r="B193">
            <v>684409</v>
          </cell>
          <cell r="C193">
            <v>0</v>
          </cell>
          <cell r="D193">
            <v>684409</v>
          </cell>
          <cell r="E193">
            <v>0</v>
          </cell>
          <cell r="F193">
            <v>0</v>
          </cell>
          <cell r="G193">
            <v>0</v>
          </cell>
          <cell r="H193">
            <v>684409</v>
          </cell>
          <cell r="I193">
            <v>0</v>
          </cell>
          <cell r="J193">
            <v>-684409</v>
          </cell>
        </row>
        <row r="194">
          <cell r="A194" t="str">
            <v>5-1-01-08-001  SEGUROS BIENES FISICOS Y RESPONSABILIDAD CIVIL</v>
          </cell>
          <cell r="B194">
            <v>491392862</v>
          </cell>
          <cell r="C194">
            <v>234962163</v>
          </cell>
          <cell r="D194">
            <v>256430699</v>
          </cell>
          <cell r="E194">
            <v>0</v>
          </cell>
          <cell r="F194">
            <v>0</v>
          </cell>
          <cell r="G194">
            <v>0</v>
          </cell>
          <cell r="H194">
            <v>256430699</v>
          </cell>
          <cell r="I194">
            <v>0</v>
          </cell>
          <cell r="J194">
            <v>-256430699</v>
          </cell>
        </row>
        <row r="195">
          <cell r="A195" t="str">
            <v>5-1-01-10-003  REMUNERACIONES TENS Y RRHH</v>
          </cell>
          <cell r="B195">
            <v>4767014</v>
          </cell>
          <cell r="C195">
            <v>0</v>
          </cell>
          <cell r="D195">
            <v>4767014</v>
          </cell>
          <cell r="E195">
            <v>0</v>
          </cell>
          <cell r="F195">
            <v>0</v>
          </cell>
          <cell r="G195">
            <v>0</v>
          </cell>
          <cell r="H195">
            <v>4767014</v>
          </cell>
          <cell r="I195">
            <v>0</v>
          </cell>
          <cell r="J195">
            <v>-4767014</v>
          </cell>
        </row>
        <row r="196">
          <cell r="A196" t="str">
            <v>5-1-01-11-001  HABILITACIÓN LOCALES OUTLET FLORIDA</v>
          </cell>
          <cell r="B196">
            <v>2542046</v>
          </cell>
          <cell r="C196">
            <v>2391344</v>
          </cell>
          <cell r="D196">
            <v>150702</v>
          </cell>
          <cell r="E196">
            <v>0</v>
          </cell>
          <cell r="F196">
            <v>0</v>
          </cell>
          <cell r="G196">
            <v>0</v>
          </cell>
          <cell r="H196">
            <v>150702</v>
          </cell>
          <cell r="I196">
            <v>0</v>
          </cell>
          <cell r="J196">
            <v>-150702</v>
          </cell>
        </row>
        <row r="197">
          <cell r="A197" t="str">
            <v>5-1-01-11-030  HABILITACIONES GENERALES</v>
          </cell>
          <cell r="B197">
            <v>17001032</v>
          </cell>
          <cell r="C197">
            <v>0</v>
          </cell>
          <cell r="D197">
            <v>17001032</v>
          </cell>
          <cell r="E197">
            <v>0</v>
          </cell>
          <cell r="F197">
            <v>0</v>
          </cell>
          <cell r="G197">
            <v>0</v>
          </cell>
          <cell r="H197">
            <v>17001032</v>
          </cell>
          <cell r="I197">
            <v>0</v>
          </cell>
          <cell r="J197">
            <v>-17001032</v>
          </cell>
        </row>
        <row r="198">
          <cell r="A198" t="str">
            <v>5-1-03-01-001  PROMOCIONES MARKETING</v>
          </cell>
          <cell r="B198">
            <v>962625</v>
          </cell>
          <cell r="C198">
            <v>0</v>
          </cell>
          <cell r="D198">
            <v>962625</v>
          </cell>
          <cell r="E198">
            <v>0</v>
          </cell>
          <cell r="F198">
            <v>0</v>
          </cell>
          <cell r="G198">
            <v>0</v>
          </cell>
          <cell r="H198">
            <v>962625</v>
          </cell>
          <cell r="I198">
            <v>0</v>
          </cell>
          <cell r="J198">
            <v>-962625</v>
          </cell>
        </row>
        <row r="199">
          <cell r="A199" t="str">
            <v>5-1-03-01-005  GASTOS DERECHO AUTOR</v>
          </cell>
          <cell r="B199">
            <v>287781</v>
          </cell>
          <cell r="C199">
            <v>0</v>
          </cell>
          <cell r="D199">
            <v>287781</v>
          </cell>
          <cell r="E199">
            <v>0</v>
          </cell>
          <cell r="F199">
            <v>0</v>
          </cell>
          <cell r="G199">
            <v>0</v>
          </cell>
          <cell r="H199">
            <v>287781</v>
          </cell>
          <cell r="I199">
            <v>0</v>
          </cell>
          <cell r="J199">
            <v>-287781</v>
          </cell>
        </row>
        <row r="200">
          <cell r="A200" t="str">
            <v>5-2-01-01-001  REMUNERACIONES BRUTAS</v>
          </cell>
          <cell r="B200">
            <v>143540429</v>
          </cell>
          <cell r="C200">
            <v>0</v>
          </cell>
          <cell r="D200">
            <v>143540429</v>
          </cell>
          <cell r="E200">
            <v>0</v>
          </cell>
          <cell r="F200">
            <v>0</v>
          </cell>
          <cell r="G200">
            <v>0</v>
          </cell>
          <cell r="H200">
            <v>143540429</v>
          </cell>
          <cell r="I200">
            <v>0</v>
          </cell>
          <cell r="J200">
            <v>-143540429</v>
          </cell>
        </row>
        <row r="201">
          <cell r="A201" t="str">
            <v>5-2-01-01-002  APORTES PATRONALES</v>
          </cell>
          <cell r="B201">
            <v>2459593</v>
          </cell>
          <cell r="C201">
            <v>0</v>
          </cell>
          <cell r="D201">
            <v>2459593</v>
          </cell>
          <cell r="E201">
            <v>0</v>
          </cell>
          <cell r="F201">
            <v>0</v>
          </cell>
          <cell r="G201">
            <v>0</v>
          </cell>
          <cell r="H201">
            <v>2459593</v>
          </cell>
          <cell r="I201">
            <v>0</v>
          </cell>
          <cell r="J201">
            <v>-2459593</v>
          </cell>
        </row>
        <row r="202">
          <cell r="A202" t="str">
            <v>5-2-01-01-004  GRATIFICACIONES</v>
          </cell>
          <cell r="B202">
            <v>4481427</v>
          </cell>
          <cell r="C202">
            <v>0</v>
          </cell>
          <cell r="D202">
            <v>4481427</v>
          </cell>
          <cell r="E202">
            <v>0</v>
          </cell>
          <cell r="F202">
            <v>0</v>
          </cell>
          <cell r="G202">
            <v>0</v>
          </cell>
          <cell r="H202">
            <v>4481427</v>
          </cell>
          <cell r="I202">
            <v>0</v>
          </cell>
          <cell r="J202">
            <v>-4481427</v>
          </cell>
        </row>
        <row r="203">
          <cell r="A203" t="str">
            <v>5-2-01-01-006  OTROS NO IMPONIBLES</v>
          </cell>
          <cell r="B203">
            <v>54021923</v>
          </cell>
          <cell r="C203">
            <v>0</v>
          </cell>
          <cell r="D203">
            <v>54021923</v>
          </cell>
          <cell r="E203">
            <v>0</v>
          </cell>
          <cell r="F203">
            <v>0</v>
          </cell>
          <cell r="G203">
            <v>0</v>
          </cell>
          <cell r="H203">
            <v>54021923</v>
          </cell>
          <cell r="I203">
            <v>0</v>
          </cell>
          <cell r="J203">
            <v>-54021923</v>
          </cell>
        </row>
        <row r="204">
          <cell r="A204" t="str">
            <v>5-2-01-01-008  SEGURO COMPLEMENTARIO SALUD</v>
          </cell>
          <cell r="B204">
            <v>1469916</v>
          </cell>
          <cell r="C204">
            <v>297327</v>
          </cell>
          <cell r="D204">
            <v>1172589</v>
          </cell>
          <cell r="E204">
            <v>0</v>
          </cell>
          <cell r="F204">
            <v>0</v>
          </cell>
          <cell r="G204">
            <v>0</v>
          </cell>
          <cell r="H204">
            <v>1172589</v>
          </cell>
          <cell r="I204">
            <v>0</v>
          </cell>
          <cell r="J204">
            <v>-1172589</v>
          </cell>
        </row>
        <row r="205">
          <cell r="A205" t="str">
            <v>5-2-01-02-001  HONORARIOS CONTABLES</v>
          </cell>
          <cell r="B205">
            <v>409356</v>
          </cell>
          <cell r="C205">
            <v>0</v>
          </cell>
          <cell r="D205">
            <v>409356</v>
          </cell>
          <cell r="E205">
            <v>0</v>
          </cell>
          <cell r="F205">
            <v>0</v>
          </cell>
          <cell r="G205">
            <v>0</v>
          </cell>
          <cell r="H205">
            <v>409356</v>
          </cell>
          <cell r="I205">
            <v>0</v>
          </cell>
          <cell r="J205">
            <v>-409356</v>
          </cell>
        </row>
        <row r="206">
          <cell r="A206" t="str">
            <v>5-2-01-02-002  HONORARIOS SERVICIOS LEGALES</v>
          </cell>
          <cell r="B206">
            <v>435377</v>
          </cell>
          <cell r="C206">
            <v>1890000</v>
          </cell>
          <cell r="D206">
            <v>0</v>
          </cell>
          <cell r="E206">
            <v>1454623</v>
          </cell>
          <cell r="F206">
            <v>0</v>
          </cell>
          <cell r="G206">
            <v>0</v>
          </cell>
          <cell r="H206">
            <v>0</v>
          </cell>
          <cell r="I206">
            <v>1454623</v>
          </cell>
          <cell r="J206">
            <v>1454623</v>
          </cell>
        </row>
        <row r="207">
          <cell r="A207" t="str">
            <v>5-2-01-02-003  ASESORIAS Y CONSULTORIAS</v>
          </cell>
          <cell r="B207">
            <v>50805944</v>
          </cell>
          <cell r="C207">
            <v>0</v>
          </cell>
          <cell r="D207">
            <v>50805944</v>
          </cell>
          <cell r="E207">
            <v>0</v>
          </cell>
          <cell r="F207">
            <v>0</v>
          </cell>
          <cell r="G207">
            <v>0</v>
          </cell>
          <cell r="H207">
            <v>50805944</v>
          </cell>
          <cell r="I207">
            <v>0</v>
          </cell>
          <cell r="J207">
            <v>-50805944</v>
          </cell>
        </row>
        <row r="208">
          <cell r="A208" t="str">
            <v>5-2-01-02-004  SERVICIOS DE ASEO</v>
          </cell>
          <cell r="B208">
            <v>23240221</v>
          </cell>
          <cell r="C208">
            <v>0</v>
          </cell>
          <cell r="D208">
            <v>23240221</v>
          </cell>
          <cell r="E208">
            <v>0</v>
          </cell>
          <cell r="F208">
            <v>0</v>
          </cell>
          <cell r="G208">
            <v>0</v>
          </cell>
          <cell r="H208">
            <v>23240221</v>
          </cell>
          <cell r="I208">
            <v>0</v>
          </cell>
          <cell r="J208">
            <v>-23240221</v>
          </cell>
        </row>
        <row r="209">
          <cell r="A209" t="str">
            <v>5-2-01-02-007  SERVICIOS DE PUBLICIDAD Y MARKETING</v>
          </cell>
          <cell r="B209">
            <v>9935225</v>
          </cell>
          <cell r="C209">
            <v>0</v>
          </cell>
          <cell r="D209">
            <v>9935225</v>
          </cell>
          <cell r="E209">
            <v>0</v>
          </cell>
          <cell r="F209">
            <v>0</v>
          </cell>
          <cell r="G209">
            <v>0</v>
          </cell>
          <cell r="H209">
            <v>9935225</v>
          </cell>
          <cell r="I209">
            <v>0</v>
          </cell>
          <cell r="J209">
            <v>-9935225</v>
          </cell>
        </row>
        <row r="210">
          <cell r="A210" t="str">
            <v>5-2-01-02-011  PAGOS LEGALES Y DEMANDAS</v>
          </cell>
          <cell r="B210">
            <v>350000</v>
          </cell>
          <cell r="C210">
            <v>0</v>
          </cell>
          <cell r="D210">
            <v>350000</v>
          </cell>
          <cell r="E210">
            <v>0</v>
          </cell>
          <cell r="F210">
            <v>0</v>
          </cell>
          <cell r="G210">
            <v>0</v>
          </cell>
          <cell r="H210">
            <v>350000</v>
          </cell>
          <cell r="I210">
            <v>0</v>
          </cell>
          <cell r="J210">
            <v>-350000</v>
          </cell>
        </row>
        <row r="211">
          <cell r="A211" t="str">
            <v>5-2-01-03-002  GASTOS NOTARIALES</v>
          </cell>
          <cell r="B211">
            <v>99500</v>
          </cell>
          <cell r="C211">
            <v>0</v>
          </cell>
          <cell r="D211">
            <v>99500</v>
          </cell>
          <cell r="E211">
            <v>0</v>
          </cell>
          <cell r="F211">
            <v>0</v>
          </cell>
          <cell r="G211">
            <v>0</v>
          </cell>
          <cell r="H211">
            <v>99500</v>
          </cell>
          <cell r="I211">
            <v>0</v>
          </cell>
          <cell r="J211">
            <v>-99500</v>
          </cell>
        </row>
        <row r="212">
          <cell r="A212" t="str">
            <v>5-2-01-03-004  GASTO IVA PROPORCIONAL</v>
          </cell>
          <cell r="B212">
            <v>16269020</v>
          </cell>
          <cell r="C212">
            <v>0</v>
          </cell>
          <cell r="D212">
            <v>16269020</v>
          </cell>
          <cell r="E212">
            <v>0</v>
          </cell>
          <cell r="F212">
            <v>0</v>
          </cell>
          <cell r="G212">
            <v>0</v>
          </cell>
          <cell r="H212">
            <v>16269020</v>
          </cell>
          <cell r="I212">
            <v>0</v>
          </cell>
          <cell r="J212">
            <v>-16269020</v>
          </cell>
        </row>
        <row r="213">
          <cell r="A213" t="str">
            <v>5-2-01-03-006  GASTOS GENERALES</v>
          </cell>
          <cell r="B213">
            <v>5956708</v>
          </cell>
          <cell r="C213">
            <v>2148142</v>
          </cell>
          <cell r="D213">
            <v>3808566</v>
          </cell>
          <cell r="E213">
            <v>0</v>
          </cell>
          <cell r="F213">
            <v>0</v>
          </cell>
          <cell r="G213">
            <v>0</v>
          </cell>
          <cell r="H213">
            <v>3808566</v>
          </cell>
          <cell r="I213">
            <v>0</v>
          </cell>
          <cell r="J213">
            <v>-3808566</v>
          </cell>
        </row>
        <row r="214">
          <cell r="A214" t="str">
            <v>5-2-01-05-001  GASTOS DE REPRESENTACION</v>
          </cell>
          <cell r="B214">
            <v>3808308</v>
          </cell>
          <cell r="C214">
            <v>60000</v>
          </cell>
          <cell r="D214">
            <v>3748308</v>
          </cell>
          <cell r="E214">
            <v>0</v>
          </cell>
          <cell r="F214">
            <v>0</v>
          </cell>
          <cell r="G214">
            <v>0</v>
          </cell>
          <cell r="H214">
            <v>3748308</v>
          </cell>
          <cell r="I214">
            <v>0</v>
          </cell>
          <cell r="J214">
            <v>-3748308</v>
          </cell>
        </row>
        <row r="215">
          <cell r="A215" t="str">
            <v>5-2-01-06-001  ARRIENDOS</v>
          </cell>
          <cell r="B215">
            <v>4056570</v>
          </cell>
          <cell r="C215">
            <v>0</v>
          </cell>
          <cell r="D215">
            <v>4056570</v>
          </cell>
          <cell r="E215">
            <v>0</v>
          </cell>
          <cell r="F215">
            <v>0</v>
          </cell>
          <cell r="G215">
            <v>0</v>
          </cell>
          <cell r="H215">
            <v>4056570</v>
          </cell>
          <cell r="I215">
            <v>0</v>
          </cell>
          <cell r="J215">
            <v>-4056570</v>
          </cell>
        </row>
        <row r="216">
          <cell r="A216" t="str">
            <v>5-2-01-07-001  CONTRIBUCIONES</v>
          </cell>
          <cell r="B216">
            <v>510763015</v>
          </cell>
          <cell r="C216">
            <v>259046</v>
          </cell>
          <cell r="D216">
            <v>510503969</v>
          </cell>
          <cell r="E216">
            <v>0</v>
          </cell>
          <cell r="F216">
            <v>0</v>
          </cell>
          <cell r="G216">
            <v>0</v>
          </cell>
          <cell r="H216">
            <v>510503969</v>
          </cell>
          <cell r="I216">
            <v>0</v>
          </cell>
          <cell r="J216">
            <v>-510503969</v>
          </cell>
        </row>
        <row r="217">
          <cell r="A217" t="str">
            <v>5-3-01-01-001  INTERESES LEASING</v>
          </cell>
          <cell r="B217">
            <v>66074592</v>
          </cell>
          <cell r="C217">
            <v>2</v>
          </cell>
          <cell r="D217">
            <v>66074590</v>
          </cell>
          <cell r="E217">
            <v>0</v>
          </cell>
          <cell r="F217">
            <v>0</v>
          </cell>
          <cell r="G217">
            <v>0</v>
          </cell>
          <cell r="H217">
            <v>66074590</v>
          </cell>
          <cell r="I217">
            <v>0</v>
          </cell>
          <cell r="J217">
            <v>-66074590</v>
          </cell>
        </row>
        <row r="218">
          <cell r="A218" t="str">
            <v>5-3-01-01-002  GASTOS BANCARIOS</v>
          </cell>
          <cell r="B218">
            <v>3153325</v>
          </cell>
          <cell r="C218">
            <v>0</v>
          </cell>
          <cell r="D218">
            <v>3153325</v>
          </cell>
          <cell r="E218">
            <v>0</v>
          </cell>
          <cell r="F218">
            <v>0</v>
          </cell>
          <cell r="G218">
            <v>0</v>
          </cell>
          <cell r="H218">
            <v>3153325</v>
          </cell>
          <cell r="I218">
            <v>0</v>
          </cell>
          <cell r="J218">
            <v>-3153325</v>
          </cell>
        </row>
        <row r="219">
          <cell r="A219" t="str">
            <v>5-3-01-01-003  MULTAS INTERESES Y REAJUSTES</v>
          </cell>
          <cell r="B219">
            <v>724696</v>
          </cell>
          <cell r="C219">
            <v>0</v>
          </cell>
          <cell r="D219">
            <v>724696</v>
          </cell>
          <cell r="E219">
            <v>0</v>
          </cell>
          <cell r="F219">
            <v>0</v>
          </cell>
          <cell r="G219">
            <v>0</v>
          </cell>
          <cell r="H219">
            <v>724696</v>
          </cell>
          <cell r="I219">
            <v>0</v>
          </cell>
          <cell r="J219">
            <v>-724696</v>
          </cell>
        </row>
        <row r="220">
          <cell r="A220" t="str">
            <v>5-3-01-01-004  GASTOS FINANCIEROS</v>
          </cell>
          <cell r="B220">
            <v>375991</v>
          </cell>
          <cell r="C220">
            <v>0</v>
          </cell>
          <cell r="D220">
            <v>375991</v>
          </cell>
          <cell r="E220">
            <v>0</v>
          </cell>
          <cell r="F220">
            <v>0</v>
          </cell>
          <cell r="G220">
            <v>0</v>
          </cell>
          <cell r="H220">
            <v>375991</v>
          </cell>
          <cell r="I220">
            <v>0</v>
          </cell>
          <cell r="J220">
            <v>-375991</v>
          </cell>
        </row>
        <row r="221">
          <cell r="A221" t="str">
            <v>5-3-01-01-005  GASTOS E INTERESES COMERCIALES</v>
          </cell>
          <cell r="B221">
            <v>26959119</v>
          </cell>
          <cell r="C221">
            <v>0</v>
          </cell>
          <cell r="D221">
            <v>26959119</v>
          </cell>
          <cell r="E221">
            <v>0</v>
          </cell>
          <cell r="F221">
            <v>0</v>
          </cell>
          <cell r="G221">
            <v>0</v>
          </cell>
          <cell r="H221">
            <v>26959119</v>
          </cell>
          <cell r="I221">
            <v>0</v>
          </cell>
          <cell r="J221">
            <v>-26959119</v>
          </cell>
        </row>
        <row r="222">
          <cell r="A222" t="str">
            <v>5-3-01-02-003  OTROS EGRESOS</v>
          </cell>
          <cell r="B222">
            <v>0</v>
          </cell>
          <cell r="C222">
            <v>516</v>
          </cell>
          <cell r="D222">
            <v>0</v>
          </cell>
          <cell r="E222">
            <v>516</v>
          </cell>
          <cell r="F222">
            <v>0</v>
          </cell>
          <cell r="G222">
            <v>0</v>
          </cell>
          <cell r="H222">
            <v>0</v>
          </cell>
          <cell r="I222">
            <v>516</v>
          </cell>
          <cell r="J222">
            <v>516</v>
          </cell>
        </row>
        <row r="223">
          <cell r="A223" t="str">
            <v>5-3-01-02-006  GANANCIA (PERDIDA) SWAP</v>
          </cell>
          <cell r="B223">
            <v>104495330</v>
          </cell>
          <cell r="C223">
            <v>0</v>
          </cell>
          <cell r="D223">
            <v>104495330</v>
          </cell>
          <cell r="E223">
            <v>0</v>
          </cell>
          <cell r="F223">
            <v>0</v>
          </cell>
          <cell r="G223">
            <v>0</v>
          </cell>
          <cell r="H223">
            <v>104495330</v>
          </cell>
          <cell r="I223">
            <v>0</v>
          </cell>
          <cell r="J223">
            <v>-104495330</v>
          </cell>
        </row>
        <row r="224">
          <cell r="A224" t="str">
            <v>5-3-01-02-007  MAYOR / MENOR VALOR DE INVERSIONES</v>
          </cell>
          <cell r="B224">
            <v>0</v>
          </cell>
          <cell r="C224">
            <v>98094405</v>
          </cell>
          <cell r="D224">
            <v>0</v>
          </cell>
          <cell r="E224">
            <v>98094405</v>
          </cell>
          <cell r="F224">
            <v>0</v>
          </cell>
          <cell r="G224">
            <v>0</v>
          </cell>
          <cell r="H224">
            <v>0</v>
          </cell>
          <cell r="I224">
            <v>98094405</v>
          </cell>
          <cell r="J224">
            <v>98094405</v>
          </cell>
        </row>
        <row r="225">
          <cell r="A225" t="str">
            <v>5-3-01-02-020  COSTO MANDATO INVERSIONES NUEVA SANTA FIDELMIRA LIMITADA</v>
          </cell>
          <cell r="B225">
            <v>212834435</v>
          </cell>
          <cell r="C225">
            <v>0</v>
          </cell>
          <cell r="D225">
            <v>212834435</v>
          </cell>
          <cell r="E225">
            <v>0</v>
          </cell>
          <cell r="F225">
            <v>0</v>
          </cell>
          <cell r="G225">
            <v>0</v>
          </cell>
          <cell r="H225">
            <v>212834435</v>
          </cell>
          <cell r="I225">
            <v>0</v>
          </cell>
          <cell r="J225">
            <v>-212834435</v>
          </cell>
        </row>
        <row r="226">
          <cell r="A226" t="str">
            <v>5-3-01-02-021  CASTIGO CLIENTE NO DOCUMENTADO</v>
          </cell>
          <cell r="B226">
            <v>10407609</v>
          </cell>
          <cell r="C226">
            <v>852593</v>
          </cell>
          <cell r="D226">
            <v>9555016</v>
          </cell>
          <cell r="E226">
            <v>0</v>
          </cell>
          <cell r="F226">
            <v>0</v>
          </cell>
          <cell r="G226">
            <v>0</v>
          </cell>
          <cell r="H226">
            <v>9555016</v>
          </cell>
          <cell r="I226">
            <v>0</v>
          </cell>
          <cell r="J226">
            <v>-9555016</v>
          </cell>
        </row>
        <row r="227">
          <cell r="A227" t="str">
            <v>5-3-01-02-022  CASTIGO CLIENTE DOCUMENTADO</v>
          </cell>
          <cell r="B227">
            <v>852593</v>
          </cell>
          <cell r="C227">
            <v>0</v>
          </cell>
          <cell r="D227">
            <v>852593</v>
          </cell>
          <cell r="E227">
            <v>0</v>
          </cell>
          <cell r="F227">
            <v>0</v>
          </cell>
          <cell r="G227">
            <v>0</v>
          </cell>
          <cell r="H227">
            <v>852593</v>
          </cell>
          <cell r="I227">
            <v>0</v>
          </cell>
          <cell r="J227">
            <v>-852593</v>
          </cell>
        </row>
        <row r="228">
          <cell r="A228" t="str">
            <v>5-3-01-03-006  CORRECCION EN UF</v>
          </cell>
          <cell r="B228">
            <v>52777682</v>
          </cell>
          <cell r="C228">
            <v>19983400</v>
          </cell>
          <cell r="D228">
            <v>32794282</v>
          </cell>
          <cell r="E228">
            <v>0</v>
          </cell>
          <cell r="F228">
            <v>0</v>
          </cell>
          <cell r="G228">
            <v>0</v>
          </cell>
          <cell r="H228">
            <v>32794282</v>
          </cell>
          <cell r="I228">
            <v>0</v>
          </cell>
          <cell r="J228">
            <v>-32794282</v>
          </cell>
        </row>
        <row r="229">
          <cell r="A229" t="str">
            <v>5-3-01-03-011  VARIACION USD</v>
          </cell>
          <cell r="B229">
            <v>77208465</v>
          </cell>
          <cell r="C229">
            <v>29503595</v>
          </cell>
          <cell r="D229">
            <v>47704870</v>
          </cell>
          <cell r="E229">
            <v>0</v>
          </cell>
          <cell r="F229">
            <v>0</v>
          </cell>
          <cell r="G229">
            <v>0</v>
          </cell>
          <cell r="H229">
            <v>47704870</v>
          </cell>
          <cell r="I229">
            <v>0</v>
          </cell>
          <cell r="J229">
            <v>-47704870</v>
          </cell>
        </row>
        <row r="230">
          <cell r="A230" t="str">
            <v>5-3-01-05-001  DEPRECIACIONES</v>
          </cell>
          <cell r="B230">
            <v>34428955</v>
          </cell>
          <cell r="C230">
            <v>0</v>
          </cell>
          <cell r="D230">
            <v>34428955</v>
          </cell>
          <cell r="E230">
            <v>0</v>
          </cell>
          <cell r="F230">
            <v>0</v>
          </cell>
          <cell r="G230">
            <v>0</v>
          </cell>
          <cell r="H230">
            <v>34428955</v>
          </cell>
          <cell r="I230">
            <v>0</v>
          </cell>
          <cell r="J230">
            <v>-34428955</v>
          </cell>
        </row>
        <row r="231">
          <cell r="A231" t="str">
            <v>5-3-01-05-002  DEPRECIACION BIENES EN LEASING</v>
          </cell>
          <cell r="B231">
            <v>672927049</v>
          </cell>
          <cell r="C231">
            <v>611751862</v>
          </cell>
          <cell r="D231">
            <v>61175187</v>
          </cell>
          <cell r="E231">
            <v>0</v>
          </cell>
          <cell r="F231">
            <v>0</v>
          </cell>
          <cell r="G231">
            <v>0</v>
          </cell>
          <cell r="H231">
            <v>61175187</v>
          </cell>
          <cell r="I231">
            <v>0</v>
          </cell>
          <cell r="J231">
            <v>-61175187</v>
          </cell>
        </row>
        <row r="232">
          <cell r="A232" t="str">
            <v>Sub-Totales</v>
          </cell>
          <cell r="B232">
            <v>13916317691</v>
          </cell>
          <cell r="C232">
            <v>13916317691</v>
          </cell>
          <cell r="D232">
            <v>3491660136</v>
          </cell>
          <cell r="E232">
            <v>3491660136</v>
          </cell>
          <cell r="F232">
            <v>1446329398</v>
          </cell>
          <cell r="G232">
            <v>2265625690</v>
          </cell>
          <cell r="H232">
            <v>2045330738</v>
          </cell>
          <cell r="I232">
            <v>1226034446</v>
          </cell>
        </row>
        <row r="233">
          <cell r="A233" t="str">
            <v>Pérdidas / Ganancias</v>
          </cell>
          <cell r="B233"/>
          <cell r="C233"/>
          <cell r="D233"/>
          <cell r="E233"/>
          <cell r="F233">
            <v>819296292</v>
          </cell>
          <cell r="G233"/>
          <cell r="H233"/>
          <cell r="I233">
            <v>819296292</v>
          </cell>
        </row>
        <row r="234">
          <cell r="A234" t="str">
            <v>Total General</v>
          </cell>
          <cell r="B234">
            <v>13916317691</v>
          </cell>
          <cell r="C234">
            <v>13916317691</v>
          </cell>
          <cell r="D234">
            <v>3491660136</v>
          </cell>
          <cell r="E234">
            <v>3491660136</v>
          </cell>
          <cell r="F234">
            <v>2265625690</v>
          </cell>
          <cell r="G234">
            <v>2265625690</v>
          </cell>
          <cell r="H234">
            <v>2045330738</v>
          </cell>
          <cell r="I234">
            <v>2045330738</v>
          </cell>
        </row>
      </sheetData>
      <sheetData sheetId="3">
        <row r="1">
          <cell r="A1" t="str">
            <v>INVERSIONES SANTA FIDELMIRA LIMITADA</v>
          </cell>
          <cell r="B1"/>
          <cell r="C1"/>
          <cell r="D1"/>
          <cell r="E1"/>
          <cell r="F1"/>
          <cell r="G1"/>
          <cell r="H1"/>
          <cell r="I1"/>
        </row>
        <row r="2">
          <cell r="A2" t="str">
            <v>ARRIENDO, EXPLOTACION  BIENES INMUEBLES</v>
          </cell>
          <cell r="B2"/>
          <cell r="C2"/>
          <cell r="D2"/>
          <cell r="E2"/>
          <cell r="F2"/>
          <cell r="G2"/>
          <cell r="H2"/>
          <cell r="I2"/>
        </row>
        <row r="3">
          <cell r="A3" t="str">
            <v>MAIPU #599</v>
          </cell>
          <cell r="B3"/>
          <cell r="C3"/>
          <cell r="D3"/>
          <cell r="E3"/>
          <cell r="F3"/>
          <cell r="G3"/>
          <cell r="H3"/>
          <cell r="I3"/>
        </row>
        <row r="4">
          <cell r="A4" t="str">
            <v>LINARES</v>
          </cell>
          <cell r="B4"/>
          <cell r="C4"/>
          <cell r="D4"/>
          <cell r="E4"/>
          <cell r="F4"/>
          <cell r="G4"/>
          <cell r="H4"/>
          <cell r="I4"/>
        </row>
        <row r="5">
          <cell r="A5" t="str">
            <v>LINARES</v>
          </cell>
          <cell r="B5"/>
          <cell r="C5"/>
          <cell r="D5"/>
          <cell r="E5"/>
          <cell r="F5"/>
          <cell r="G5"/>
          <cell r="H5"/>
          <cell r="I5"/>
        </row>
        <row r="6">
          <cell r="A6" t="str">
            <v>79.991.280-5</v>
          </cell>
          <cell r="B6"/>
          <cell r="C6"/>
          <cell r="D6"/>
          <cell r="E6"/>
          <cell r="F6"/>
          <cell r="G6"/>
          <cell r="H6" t="str">
            <v>Fecha :</v>
          </cell>
          <cell r="I6" t="str">
            <v>21/10/2025</v>
          </cell>
        </row>
        <row r="8">
          <cell r="A8" t="str">
            <v>Balance Tributario</v>
          </cell>
          <cell r="B8"/>
          <cell r="C8"/>
          <cell r="D8"/>
          <cell r="E8"/>
          <cell r="F8"/>
          <cell r="G8"/>
          <cell r="H8"/>
          <cell r="I8"/>
        </row>
        <row r="9">
          <cell r="A9" t="str">
            <v xml:space="preserve"> Desde :Abril/2025</v>
          </cell>
          <cell r="B9"/>
          <cell r="C9"/>
          <cell r="D9"/>
          <cell r="E9"/>
          <cell r="F9"/>
          <cell r="G9"/>
          <cell r="H9"/>
          <cell r="I9"/>
        </row>
        <row r="10">
          <cell r="A10" t="str">
            <v xml:space="preserve"> Hasta :Abril/2025</v>
          </cell>
          <cell r="B10"/>
          <cell r="C10"/>
          <cell r="D10"/>
          <cell r="E10"/>
          <cell r="F10"/>
          <cell r="G10"/>
          <cell r="H10"/>
          <cell r="I10"/>
        </row>
        <row r="12">
          <cell r="A12" t="str">
            <v>Cuenta Contable</v>
          </cell>
          <cell r="B12" t="str">
            <v>Valores Acumulados</v>
          </cell>
          <cell r="C12"/>
          <cell r="D12" t="str">
            <v>Saldos</v>
          </cell>
          <cell r="E12"/>
          <cell r="F12" t="str">
            <v>Inventario</v>
          </cell>
          <cell r="G12"/>
          <cell r="H12" t="str">
            <v>Resultados</v>
          </cell>
          <cell r="I12"/>
        </row>
        <row r="13">
          <cell r="A13"/>
          <cell r="B13" t="str">
            <v>Débitos</v>
          </cell>
          <cell r="C13" t="str">
            <v>Créditos</v>
          </cell>
          <cell r="D13" t="str">
            <v>Deudor</v>
          </cell>
          <cell r="E13" t="str">
            <v>Acreedor</v>
          </cell>
          <cell r="F13" t="str">
            <v>Activo</v>
          </cell>
          <cell r="G13" t="str">
            <v>Pasivo</v>
          </cell>
          <cell r="H13" t="str">
            <v>Pérdida</v>
          </cell>
          <cell r="I13" t="str">
            <v>Ganancia</v>
          </cell>
        </row>
        <row r="14">
          <cell r="A14" t="str">
            <v>1-1-10-01-004  CAJA CHICA OUTLET TALCA</v>
          </cell>
          <cell r="B14">
            <v>0</v>
          </cell>
          <cell r="C14">
            <v>954779</v>
          </cell>
          <cell r="D14">
            <v>0</v>
          </cell>
          <cell r="E14">
            <v>954779</v>
          </cell>
          <cell r="F14">
            <v>0</v>
          </cell>
          <cell r="G14">
            <v>954779</v>
          </cell>
          <cell r="H14">
            <v>0</v>
          </cell>
          <cell r="I14">
            <v>0</v>
          </cell>
          <cell r="J14">
            <v>-954779</v>
          </cell>
        </row>
        <row r="15">
          <cell r="A15" t="str">
            <v>1-1-10-01-005  CAJA CHICA LINARES</v>
          </cell>
          <cell r="B15">
            <v>1037040</v>
          </cell>
          <cell r="C15">
            <v>244643</v>
          </cell>
          <cell r="D15">
            <v>792397</v>
          </cell>
          <cell r="E15">
            <v>0</v>
          </cell>
          <cell r="F15">
            <v>792397</v>
          </cell>
          <cell r="G15">
            <v>0</v>
          </cell>
          <cell r="H15">
            <v>0</v>
          </cell>
          <cell r="I15">
            <v>0</v>
          </cell>
          <cell r="J15">
            <v>792397</v>
          </cell>
        </row>
        <row r="16">
          <cell r="A16" t="str">
            <v>1-1-10-01-007  CAJA CHICA SANTIAGO</v>
          </cell>
          <cell r="B16">
            <v>626663</v>
          </cell>
          <cell r="C16">
            <v>528149</v>
          </cell>
          <cell r="D16">
            <v>98514</v>
          </cell>
          <cell r="E16">
            <v>0</v>
          </cell>
          <cell r="F16">
            <v>98514</v>
          </cell>
          <cell r="G16">
            <v>0</v>
          </cell>
          <cell r="H16">
            <v>0</v>
          </cell>
          <cell r="I16">
            <v>0</v>
          </cell>
          <cell r="J16">
            <v>98514</v>
          </cell>
        </row>
        <row r="17">
          <cell r="A17" t="str">
            <v>1-1-10-01-008  CAJA CHICA OFICINAS SANTIAGO</v>
          </cell>
          <cell r="B17">
            <v>1000000</v>
          </cell>
          <cell r="C17">
            <v>0</v>
          </cell>
          <cell r="D17">
            <v>1000000</v>
          </cell>
          <cell r="E17">
            <v>0</v>
          </cell>
          <cell r="F17">
            <v>1000000</v>
          </cell>
          <cell r="G17">
            <v>0</v>
          </cell>
          <cell r="H17">
            <v>0</v>
          </cell>
          <cell r="I17">
            <v>0</v>
          </cell>
          <cell r="J17">
            <v>1000000</v>
          </cell>
        </row>
        <row r="18">
          <cell r="A18" t="str">
            <v>1-1-10-02-002  BANCO SANTANDER 25996240</v>
          </cell>
          <cell r="B18">
            <v>6946574609</v>
          </cell>
          <cell r="C18">
            <v>6948383974</v>
          </cell>
          <cell r="D18">
            <v>0</v>
          </cell>
          <cell r="E18">
            <v>1809365</v>
          </cell>
          <cell r="F18">
            <v>0</v>
          </cell>
          <cell r="G18">
            <v>1809365</v>
          </cell>
          <cell r="H18">
            <v>0</v>
          </cell>
          <cell r="I18">
            <v>0</v>
          </cell>
          <cell r="J18">
            <v>-1809365</v>
          </cell>
        </row>
        <row r="19">
          <cell r="A19" t="str">
            <v>1-1-10-02-004  BANCO CREDITO E INVERSIONES</v>
          </cell>
          <cell r="B19">
            <v>486185702</v>
          </cell>
          <cell r="C19">
            <v>490663449</v>
          </cell>
          <cell r="D19">
            <v>0</v>
          </cell>
          <cell r="E19">
            <v>4477747</v>
          </cell>
          <cell r="F19">
            <v>0</v>
          </cell>
          <cell r="G19">
            <v>4477747</v>
          </cell>
          <cell r="H19">
            <v>0</v>
          </cell>
          <cell r="I19">
            <v>0</v>
          </cell>
          <cell r="J19">
            <v>-4477747</v>
          </cell>
        </row>
        <row r="20">
          <cell r="A20" t="str">
            <v>1-1-10-02-005  BANCO ITAU</v>
          </cell>
          <cell r="B20">
            <v>304837879</v>
          </cell>
          <cell r="C20">
            <v>305057415</v>
          </cell>
          <cell r="D20">
            <v>0</v>
          </cell>
          <cell r="E20">
            <v>219536</v>
          </cell>
          <cell r="F20">
            <v>0</v>
          </cell>
          <cell r="G20">
            <v>219536</v>
          </cell>
          <cell r="H20">
            <v>0</v>
          </cell>
          <cell r="I20">
            <v>0</v>
          </cell>
          <cell r="J20">
            <v>-219536</v>
          </cell>
        </row>
        <row r="21">
          <cell r="A21" t="str">
            <v>1-1-10-02-006  BANCO INTERNACIONAL</v>
          </cell>
          <cell r="B21">
            <v>0</v>
          </cell>
          <cell r="C21">
            <v>29596668</v>
          </cell>
          <cell r="D21">
            <v>0</v>
          </cell>
          <cell r="E21">
            <v>29596668</v>
          </cell>
          <cell r="F21">
            <v>0</v>
          </cell>
          <cell r="G21">
            <v>29596668</v>
          </cell>
          <cell r="H21">
            <v>0</v>
          </cell>
          <cell r="I21">
            <v>0</v>
          </cell>
          <cell r="J21">
            <v>-29596668</v>
          </cell>
        </row>
        <row r="22">
          <cell r="A22" t="str">
            <v>1-1-10-02-007  BANCO BCI CHILE DOLARES</v>
          </cell>
          <cell r="B22">
            <v>131412381</v>
          </cell>
          <cell r="C22">
            <v>263262248</v>
          </cell>
          <cell r="D22">
            <v>0</v>
          </cell>
          <cell r="E22">
            <v>131849867</v>
          </cell>
          <cell r="F22">
            <v>0</v>
          </cell>
          <cell r="G22">
            <v>131849867</v>
          </cell>
          <cell r="H22">
            <v>0</v>
          </cell>
          <cell r="I22">
            <v>0</v>
          </cell>
          <cell r="J22">
            <v>-131849867</v>
          </cell>
        </row>
        <row r="23">
          <cell r="A23" t="str">
            <v>1-1-20-01-003  ACCIONES CFINRENTAS BANCO SANTANDER</v>
          </cell>
          <cell r="B23">
            <v>13572522</v>
          </cell>
          <cell r="C23">
            <v>0</v>
          </cell>
          <cell r="D23">
            <v>13572522</v>
          </cell>
          <cell r="E23">
            <v>0</v>
          </cell>
          <cell r="F23">
            <v>13572522</v>
          </cell>
          <cell r="G23">
            <v>0</v>
          </cell>
          <cell r="H23">
            <v>0</v>
          </cell>
          <cell r="I23">
            <v>0</v>
          </cell>
          <cell r="J23">
            <v>13572522</v>
          </cell>
        </row>
        <row r="24">
          <cell r="A24" t="str">
            <v>1-1-20-01-006  FONDOS MUTUOS BCI PESOS</v>
          </cell>
          <cell r="B24">
            <v>540064</v>
          </cell>
          <cell r="C24">
            <v>0</v>
          </cell>
          <cell r="D24">
            <v>540064</v>
          </cell>
          <cell r="E24">
            <v>0</v>
          </cell>
          <cell r="F24">
            <v>540064</v>
          </cell>
          <cell r="G24">
            <v>0</v>
          </cell>
          <cell r="H24">
            <v>0</v>
          </cell>
          <cell r="I24">
            <v>0</v>
          </cell>
          <cell r="J24">
            <v>540064</v>
          </cell>
        </row>
        <row r="25">
          <cell r="A25" t="str">
            <v>1-1-20-02-004  DAP BCI USD</v>
          </cell>
          <cell r="B25">
            <v>0</v>
          </cell>
          <cell r="C25">
            <v>114615578</v>
          </cell>
          <cell r="D25">
            <v>0</v>
          </cell>
          <cell r="E25">
            <v>114615578</v>
          </cell>
          <cell r="F25">
            <v>0</v>
          </cell>
          <cell r="G25">
            <v>114615578</v>
          </cell>
          <cell r="H25">
            <v>0</v>
          </cell>
          <cell r="I25">
            <v>0</v>
          </cell>
          <cell r="J25">
            <v>-114615578</v>
          </cell>
        </row>
        <row r="26">
          <cell r="A26" t="str">
            <v>1-1-20-04-004  INVERSIONES FI BTG PACTUAL RENTAS EN PESOS</v>
          </cell>
          <cell r="B26">
            <v>76680975</v>
          </cell>
          <cell r="C26">
            <v>0</v>
          </cell>
          <cell r="D26">
            <v>76680975</v>
          </cell>
          <cell r="E26">
            <v>0</v>
          </cell>
          <cell r="F26">
            <v>76680975</v>
          </cell>
          <cell r="G26">
            <v>0</v>
          </cell>
          <cell r="H26">
            <v>0</v>
          </cell>
          <cell r="I26">
            <v>0</v>
          </cell>
          <cell r="J26">
            <v>76680975</v>
          </cell>
        </row>
        <row r="27">
          <cell r="A27" t="str">
            <v>1-1-20-04-005  INVERSIONES BTG FONDO MINING EN DOLARES</v>
          </cell>
          <cell r="B27">
            <v>0</v>
          </cell>
          <cell r="C27">
            <v>2</v>
          </cell>
          <cell r="D27">
            <v>0</v>
          </cell>
          <cell r="E27">
            <v>2</v>
          </cell>
          <cell r="F27">
            <v>0</v>
          </cell>
          <cell r="G27">
            <v>2</v>
          </cell>
          <cell r="H27">
            <v>0</v>
          </cell>
          <cell r="I27">
            <v>0</v>
          </cell>
          <cell r="J27">
            <v>-2</v>
          </cell>
        </row>
        <row r="28">
          <cell r="A28" t="str">
            <v>1-1-20-04-006  BANCHILE CORREDORES DE BOLSA DOLARES</v>
          </cell>
          <cell r="B28">
            <v>0</v>
          </cell>
          <cell r="C28">
            <v>47112</v>
          </cell>
          <cell r="D28">
            <v>0</v>
          </cell>
          <cell r="E28">
            <v>47112</v>
          </cell>
          <cell r="F28">
            <v>0</v>
          </cell>
          <cell r="G28">
            <v>47112</v>
          </cell>
          <cell r="H28">
            <v>0</v>
          </cell>
          <cell r="I28">
            <v>0</v>
          </cell>
          <cell r="J28">
            <v>-47112</v>
          </cell>
        </row>
        <row r="29">
          <cell r="A29" t="str">
            <v>1-1-20-04-009  ACCIONES BCI CORREDOR BOLSA</v>
          </cell>
          <cell r="B29">
            <v>0</v>
          </cell>
          <cell r="C29">
            <v>18139148</v>
          </cell>
          <cell r="D29">
            <v>0</v>
          </cell>
          <cell r="E29">
            <v>18139148</v>
          </cell>
          <cell r="F29">
            <v>0</v>
          </cell>
          <cell r="G29">
            <v>18139148</v>
          </cell>
          <cell r="H29">
            <v>0</v>
          </cell>
          <cell r="I29">
            <v>0</v>
          </cell>
          <cell r="J29">
            <v>-18139148</v>
          </cell>
        </row>
        <row r="30">
          <cell r="A30" t="str">
            <v>1-1-20-04-013  FONDO MUTUO BTG MONEY MARKET PESOS</v>
          </cell>
          <cell r="B30">
            <v>38</v>
          </cell>
          <cell r="C30">
            <v>0</v>
          </cell>
          <cell r="D30">
            <v>38</v>
          </cell>
          <cell r="E30">
            <v>0</v>
          </cell>
          <cell r="F30">
            <v>38</v>
          </cell>
          <cell r="G30">
            <v>0</v>
          </cell>
          <cell r="H30">
            <v>0</v>
          </cell>
          <cell r="I30">
            <v>0</v>
          </cell>
          <cell r="J30">
            <v>38</v>
          </cell>
        </row>
        <row r="31">
          <cell r="A31" t="str">
            <v>1-1-30-01-004  POVISION INGRESOS</v>
          </cell>
          <cell r="B31">
            <v>232728103</v>
          </cell>
          <cell r="C31">
            <v>0</v>
          </cell>
          <cell r="D31">
            <v>232728103</v>
          </cell>
          <cell r="E31">
            <v>0</v>
          </cell>
          <cell r="F31">
            <v>232728103</v>
          </cell>
          <cell r="G31">
            <v>0</v>
          </cell>
          <cell r="H31">
            <v>0</v>
          </cell>
          <cell r="I31">
            <v>0</v>
          </cell>
          <cell r="J31">
            <v>232728103</v>
          </cell>
        </row>
        <row r="32">
          <cell r="A32" t="str">
            <v>1-1-30-01-005  CLIENTES 2</v>
          </cell>
          <cell r="B32">
            <v>1587599362</v>
          </cell>
          <cell r="C32">
            <v>1619861860</v>
          </cell>
          <cell r="D32">
            <v>0</v>
          </cell>
          <cell r="E32">
            <v>32262498</v>
          </cell>
          <cell r="F32">
            <v>0</v>
          </cell>
          <cell r="G32">
            <v>32262498</v>
          </cell>
          <cell r="H32">
            <v>0</v>
          </cell>
          <cell r="I32">
            <v>0</v>
          </cell>
          <cell r="J32">
            <v>-32262498</v>
          </cell>
        </row>
        <row r="33">
          <cell r="A33" t="str">
            <v>1-1-40-01-010  CTA X COBRAR INV.PRIME CAPITAL INTERNACIONAL (EX SEGOVIA SA)</v>
          </cell>
          <cell r="B33">
            <v>0</v>
          </cell>
          <cell r="C33">
            <v>13634682</v>
          </cell>
          <cell r="D33">
            <v>0</v>
          </cell>
          <cell r="E33">
            <v>13634682</v>
          </cell>
          <cell r="F33">
            <v>0</v>
          </cell>
          <cell r="G33">
            <v>13634682</v>
          </cell>
          <cell r="H33">
            <v>0</v>
          </cell>
          <cell r="I33">
            <v>0</v>
          </cell>
          <cell r="J33">
            <v>-13634682</v>
          </cell>
        </row>
        <row r="34">
          <cell r="A34" t="str">
            <v>1-1-40-01-011  PRESTAMO INVERSIONES GRAN DESIERTO</v>
          </cell>
          <cell r="B34">
            <v>7167052</v>
          </cell>
          <cell r="C34">
            <v>0</v>
          </cell>
          <cell r="D34">
            <v>7167052</v>
          </cell>
          <cell r="E34">
            <v>0</v>
          </cell>
          <cell r="F34">
            <v>7167052</v>
          </cell>
          <cell r="G34">
            <v>0</v>
          </cell>
          <cell r="H34">
            <v>0</v>
          </cell>
          <cell r="I34">
            <v>0</v>
          </cell>
          <cell r="J34">
            <v>7167052</v>
          </cell>
        </row>
        <row r="35">
          <cell r="A35" t="str">
            <v>1-1-40-01-012  MUTUOS POR COBRAR</v>
          </cell>
          <cell r="B35">
            <v>1201315</v>
          </cell>
          <cell r="C35">
            <v>0</v>
          </cell>
          <cell r="D35">
            <v>1201315</v>
          </cell>
          <cell r="E35">
            <v>0</v>
          </cell>
          <cell r="F35">
            <v>1201315</v>
          </cell>
          <cell r="G35">
            <v>0</v>
          </cell>
          <cell r="H35">
            <v>0</v>
          </cell>
          <cell r="I35">
            <v>0</v>
          </cell>
          <cell r="J35">
            <v>1201315</v>
          </cell>
        </row>
        <row r="36">
          <cell r="A36" t="str">
            <v>1-1-40-01-013  ANTICIPO PROVEEDORES 2</v>
          </cell>
          <cell r="B36">
            <v>0</v>
          </cell>
          <cell r="C36">
            <v>4912127</v>
          </cell>
          <cell r="D36">
            <v>0</v>
          </cell>
          <cell r="E36">
            <v>4912127</v>
          </cell>
          <cell r="F36">
            <v>0</v>
          </cell>
          <cell r="G36">
            <v>4912127</v>
          </cell>
          <cell r="H36">
            <v>0</v>
          </cell>
          <cell r="I36">
            <v>0</v>
          </cell>
          <cell r="J36">
            <v>-4912127</v>
          </cell>
        </row>
        <row r="37">
          <cell r="A37" t="str">
            <v>1-1-40-01-014  CTA X COBRAR ISF DOLAR</v>
          </cell>
          <cell r="B37">
            <v>6530643</v>
          </cell>
          <cell r="C37">
            <v>116974922</v>
          </cell>
          <cell r="D37">
            <v>0</v>
          </cell>
          <cell r="E37">
            <v>110444279</v>
          </cell>
          <cell r="F37">
            <v>0</v>
          </cell>
          <cell r="G37">
            <v>110444279</v>
          </cell>
          <cell r="H37">
            <v>0</v>
          </cell>
          <cell r="I37">
            <v>0</v>
          </cell>
          <cell r="J37">
            <v>-110444279</v>
          </cell>
        </row>
        <row r="38">
          <cell r="A38" t="str">
            <v>1-1-40-01-015  CTA POR COBRAR ISF FLORIDA HOLDINGS MIAMI</v>
          </cell>
          <cell r="B38">
            <v>0</v>
          </cell>
          <cell r="C38">
            <v>5104000</v>
          </cell>
          <cell r="D38">
            <v>0</v>
          </cell>
          <cell r="E38">
            <v>5104000</v>
          </cell>
          <cell r="F38">
            <v>0</v>
          </cell>
          <cell r="G38">
            <v>5104000</v>
          </cell>
          <cell r="H38">
            <v>0</v>
          </cell>
          <cell r="I38">
            <v>0</v>
          </cell>
          <cell r="J38">
            <v>-5104000</v>
          </cell>
        </row>
        <row r="39">
          <cell r="A39" t="str">
            <v>1-1-40-01-016  PRESTAMOS A OPERADORES</v>
          </cell>
          <cell r="B39">
            <v>0</v>
          </cell>
          <cell r="C39">
            <v>1000000</v>
          </cell>
          <cell r="D39">
            <v>0</v>
          </cell>
          <cell r="E39">
            <v>1000000</v>
          </cell>
          <cell r="F39">
            <v>0</v>
          </cell>
          <cell r="G39">
            <v>1000000</v>
          </cell>
          <cell r="H39">
            <v>0</v>
          </cell>
          <cell r="I39">
            <v>0</v>
          </cell>
          <cell r="J39">
            <v>-1000000</v>
          </cell>
        </row>
        <row r="40">
          <cell r="A40" t="str">
            <v>1-1-40-01-017  ANTICIPO PROVEEDOR 3</v>
          </cell>
          <cell r="B40">
            <v>4872582182</v>
          </cell>
          <cell r="C40">
            <v>4861609792</v>
          </cell>
          <cell r="D40">
            <v>10972390</v>
          </cell>
          <cell r="E40">
            <v>0</v>
          </cell>
          <cell r="F40">
            <v>10972390</v>
          </cell>
          <cell r="G40">
            <v>0</v>
          </cell>
          <cell r="H40">
            <v>0</v>
          </cell>
          <cell r="I40">
            <v>0</v>
          </cell>
          <cell r="J40">
            <v>10972390</v>
          </cell>
        </row>
        <row r="41">
          <cell r="A41" t="str">
            <v>1-1-40-01-020  ANTICIPO SUELDO (2)</v>
          </cell>
          <cell r="B41">
            <v>5880000</v>
          </cell>
          <cell r="C41">
            <v>5880000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1-1-40-02-002  BOLETA GARANTIA  PROMESAS COMPRA/VENTA</v>
          </cell>
          <cell r="B42">
            <v>148116704</v>
          </cell>
          <cell r="C42">
            <v>0</v>
          </cell>
          <cell r="D42">
            <v>148116704</v>
          </cell>
          <cell r="E42">
            <v>0</v>
          </cell>
          <cell r="F42">
            <v>148116704</v>
          </cell>
          <cell r="G42">
            <v>0</v>
          </cell>
          <cell r="H42">
            <v>0</v>
          </cell>
          <cell r="I42">
            <v>0</v>
          </cell>
          <cell r="J42">
            <v>148116704</v>
          </cell>
        </row>
        <row r="43">
          <cell r="A43" t="str">
            <v>1-1-50-01-005  PAGARE POR COBRAR DOLE</v>
          </cell>
          <cell r="B43">
            <v>63616967</v>
          </cell>
          <cell r="C43">
            <v>4757255</v>
          </cell>
          <cell r="D43">
            <v>58859712</v>
          </cell>
          <cell r="E43">
            <v>0</v>
          </cell>
          <cell r="F43">
            <v>58859712</v>
          </cell>
          <cell r="G43">
            <v>0</v>
          </cell>
          <cell r="H43">
            <v>0</v>
          </cell>
          <cell r="I43">
            <v>0</v>
          </cell>
          <cell r="J43">
            <v>58859712</v>
          </cell>
        </row>
        <row r="44">
          <cell r="A44" t="str">
            <v>1-1-50-01-006  CTA, POR COBRAR DINAMITY</v>
          </cell>
          <cell r="B44">
            <v>506397</v>
          </cell>
          <cell r="C44">
            <v>0</v>
          </cell>
          <cell r="D44">
            <v>506397</v>
          </cell>
          <cell r="E44">
            <v>0</v>
          </cell>
          <cell r="F44">
            <v>506397</v>
          </cell>
          <cell r="G44">
            <v>0</v>
          </cell>
          <cell r="H44">
            <v>0</v>
          </cell>
          <cell r="I44">
            <v>0</v>
          </cell>
          <cell r="J44">
            <v>506397</v>
          </cell>
        </row>
        <row r="45">
          <cell r="A45" t="str">
            <v>1-1-50-01-007  PAGARES POR COBRAR INMOBILIARIA CUATRO</v>
          </cell>
          <cell r="B45">
            <v>0</v>
          </cell>
          <cell r="C45">
            <v>17313982</v>
          </cell>
          <cell r="D45">
            <v>0</v>
          </cell>
          <cell r="E45">
            <v>17313982</v>
          </cell>
          <cell r="F45">
            <v>0</v>
          </cell>
          <cell r="G45">
            <v>17313982</v>
          </cell>
          <cell r="H45">
            <v>0</v>
          </cell>
          <cell r="I45">
            <v>0</v>
          </cell>
          <cell r="J45">
            <v>-17313982</v>
          </cell>
        </row>
        <row r="46">
          <cell r="A46" t="str">
            <v>1-1-50-01-008  CUENTA POR COBRAR INMOB VALDEPEÑAS SPA</v>
          </cell>
          <cell r="B46">
            <v>33401693</v>
          </cell>
          <cell r="C46">
            <v>0</v>
          </cell>
          <cell r="D46">
            <v>33401693</v>
          </cell>
          <cell r="E46">
            <v>0</v>
          </cell>
          <cell r="F46">
            <v>33401693</v>
          </cell>
          <cell r="G46">
            <v>0</v>
          </cell>
          <cell r="H46">
            <v>0</v>
          </cell>
          <cell r="I46">
            <v>0</v>
          </cell>
          <cell r="J46">
            <v>33401693</v>
          </cell>
        </row>
        <row r="47">
          <cell r="A47" t="str">
            <v>1-1-50-01-009  CUENTA POR COBRAR INMOB LIRCAY SPA</v>
          </cell>
          <cell r="B47">
            <v>17890811</v>
          </cell>
          <cell r="C47">
            <v>0</v>
          </cell>
          <cell r="D47">
            <v>17890811</v>
          </cell>
          <cell r="E47">
            <v>0</v>
          </cell>
          <cell r="F47">
            <v>17890811</v>
          </cell>
          <cell r="G47">
            <v>0</v>
          </cell>
          <cell r="H47">
            <v>0</v>
          </cell>
          <cell r="I47">
            <v>0</v>
          </cell>
          <cell r="J47">
            <v>17890811</v>
          </cell>
        </row>
        <row r="48">
          <cell r="A48" t="str">
            <v>1-1-60-01-001  INT. DIF. LEASING VALPO- C/P</v>
          </cell>
          <cell r="B48">
            <v>0</v>
          </cell>
          <cell r="C48">
            <v>707427</v>
          </cell>
          <cell r="D48">
            <v>0</v>
          </cell>
          <cell r="E48">
            <v>707427</v>
          </cell>
          <cell r="F48">
            <v>0</v>
          </cell>
          <cell r="G48">
            <v>707427</v>
          </cell>
          <cell r="H48">
            <v>0</v>
          </cell>
          <cell r="I48">
            <v>0</v>
          </cell>
          <cell r="J48">
            <v>-707427</v>
          </cell>
        </row>
        <row r="49">
          <cell r="A49" t="str">
            <v>1-1-60-01-002  INT. DIF. LEASING CAUQUENES C/P</v>
          </cell>
          <cell r="B49">
            <v>0</v>
          </cell>
          <cell r="C49">
            <v>540670</v>
          </cell>
          <cell r="D49">
            <v>0</v>
          </cell>
          <cell r="E49">
            <v>540670</v>
          </cell>
          <cell r="F49">
            <v>0</v>
          </cell>
          <cell r="G49">
            <v>540670</v>
          </cell>
          <cell r="H49">
            <v>0</v>
          </cell>
          <cell r="I49">
            <v>0</v>
          </cell>
          <cell r="J49">
            <v>-540670</v>
          </cell>
        </row>
        <row r="50">
          <cell r="A50" t="str">
            <v>1-1-60-01-003  INTERES DIF.LEASING-OUTLET C/P</v>
          </cell>
          <cell r="B50">
            <v>1179485</v>
          </cell>
          <cell r="C50">
            <v>0</v>
          </cell>
          <cell r="D50">
            <v>1179485</v>
          </cell>
          <cell r="E50">
            <v>0</v>
          </cell>
          <cell r="F50">
            <v>1179485</v>
          </cell>
          <cell r="G50">
            <v>0</v>
          </cell>
          <cell r="H50">
            <v>0</v>
          </cell>
          <cell r="I50">
            <v>0</v>
          </cell>
          <cell r="J50">
            <v>1179485</v>
          </cell>
        </row>
        <row r="51">
          <cell r="A51" t="str">
            <v>1-1-60-01-011  INT.DIF.LEASING VALPO L/P</v>
          </cell>
          <cell r="B51">
            <v>0</v>
          </cell>
          <cell r="C51">
            <v>8363455</v>
          </cell>
          <cell r="D51">
            <v>0</v>
          </cell>
          <cell r="E51">
            <v>8363455</v>
          </cell>
          <cell r="F51">
            <v>0</v>
          </cell>
          <cell r="G51">
            <v>8363455</v>
          </cell>
          <cell r="H51">
            <v>0</v>
          </cell>
          <cell r="I51">
            <v>0</v>
          </cell>
          <cell r="J51">
            <v>-8363455</v>
          </cell>
        </row>
        <row r="52">
          <cell r="A52" t="str">
            <v>1-1-60-01-012  INT.DIF.LEASING CAUQUENES L/P</v>
          </cell>
          <cell r="B52">
            <v>0</v>
          </cell>
          <cell r="C52">
            <v>6675195</v>
          </cell>
          <cell r="D52">
            <v>0</v>
          </cell>
          <cell r="E52">
            <v>6675195</v>
          </cell>
          <cell r="F52">
            <v>0</v>
          </cell>
          <cell r="G52">
            <v>6675195</v>
          </cell>
          <cell r="H52">
            <v>0</v>
          </cell>
          <cell r="I52">
            <v>0</v>
          </cell>
          <cell r="J52">
            <v>-6675195</v>
          </cell>
        </row>
        <row r="53">
          <cell r="A53" t="str">
            <v>1-1-60-01-013  INTERES DIF. LEASING OUTLET-L/P</v>
          </cell>
          <cell r="B53">
            <v>0</v>
          </cell>
          <cell r="C53">
            <v>131316541</v>
          </cell>
          <cell r="D53">
            <v>0</v>
          </cell>
          <cell r="E53">
            <v>131316541</v>
          </cell>
          <cell r="F53">
            <v>0</v>
          </cell>
          <cell r="G53">
            <v>131316541</v>
          </cell>
          <cell r="H53">
            <v>0</v>
          </cell>
          <cell r="I53">
            <v>0</v>
          </cell>
          <cell r="J53">
            <v>-131316541</v>
          </cell>
        </row>
        <row r="54">
          <cell r="A54" t="str">
            <v>1-1-60-01-014  INTERESES DIF VEHICULOS LEASING CP</v>
          </cell>
          <cell r="B54">
            <v>0</v>
          </cell>
          <cell r="C54">
            <v>3133356</v>
          </cell>
          <cell r="D54">
            <v>0</v>
          </cell>
          <cell r="E54">
            <v>3133356</v>
          </cell>
          <cell r="F54">
            <v>0</v>
          </cell>
          <cell r="G54">
            <v>3133356</v>
          </cell>
          <cell r="H54">
            <v>0</v>
          </cell>
          <cell r="I54">
            <v>0</v>
          </cell>
          <cell r="J54">
            <v>-3133356</v>
          </cell>
        </row>
        <row r="55">
          <cell r="A55" t="str">
            <v>1-1-60-01-015  INTERESES DIF VEHICULOS LEASING LP</v>
          </cell>
          <cell r="B55">
            <v>0</v>
          </cell>
          <cell r="C55">
            <v>1255325</v>
          </cell>
          <cell r="D55">
            <v>0</v>
          </cell>
          <cell r="E55">
            <v>1255325</v>
          </cell>
          <cell r="F55">
            <v>0</v>
          </cell>
          <cell r="G55">
            <v>1255325</v>
          </cell>
          <cell r="H55">
            <v>0</v>
          </cell>
          <cell r="I55">
            <v>0</v>
          </cell>
          <cell r="J55">
            <v>-1255325</v>
          </cell>
        </row>
        <row r="56">
          <cell r="A56" t="str">
            <v>1-1-60-01-016  INTER DIF  HIPOTECARIO LOS MORROS CP</v>
          </cell>
          <cell r="B56">
            <v>0</v>
          </cell>
          <cell r="C56">
            <v>208710</v>
          </cell>
          <cell r="D56">
            <v>0</v>
          </cell>
          <cell r="E56">
            <v>208710</v>
          </cell>
          <cell r="F56">
            <v>0</v>
          </cell>
          <cell r="G56">
            <v>208710</v>
          </cell>
          <cell r="H56">
            <v>0</v>
          </cell>
          <cell r="I56">
            <v>0</v>
          </cell>
          <cell r="J56">
            <v>-208710</v>
          </cell>
        </row>
        <row r="57">
          <cell r="A57" t="str">
            <v>1-1-60-01-017  INTER DIF HIPOTECARIO LOS MORROS LP</v>
          </cell>
          <cell r="B57">
            <v>0</v>
          </cell>
          <cell r="C57">
            <v>37202050</v>
          </cell>
          <cell r="D57">
            <v>0</v>
          </cell>
          <cell r="E57">
            <v>37202050</v>
          </cell>
          <cell r="F57">
            <v>0</v>
          </cell>
          <cell r="G57">
            <v>37202050</v>
          </cell>
          <cell r="H57">
            <v>0</v>
          </cell>
          <cell r="I57">
            <v>0</v>
          </cell>
          <cell r="J57">
            <v>-37202050</v>
          </cell>
        </row>
        <row r="58">
          <cell r="A58" t="str">
            <v>1-1-60-01-018  INTERESES DIF INTERNACIONAL CP M$600</v>
          </cell>
          <cell r="B58">
            <v>0</v>
          </cell>
          <cell r="C58">
            <v>13193201</v>
          </cell>
          <cell r="D58">
            <v>0</v>
          </cell>
          <cell r="E58">
            <v>13193201</v>
          </cell>
          <cell r="F58">
            <v>0</v>
          </cell>
          <cell r="G58">
            <v>13193201</v>
          </cell>
          <cell r="H58">
            <v>0</v>
          </cell>
          <cell r="I58">
            <v>0</v>
          </cell>
          <cell r="J58">
            <v>-13193201</v>
          </cell>
        </row>
        <row r="59">
          <cell r="A59" t="str">
            <v>1-1-60-01-019  INTERESES DIF INTERNACIONAL LP M$600</v>
          </cell>
          <cell r="B59">
            <v>0</v>
          </cell>
          <cell r="C59">
            <v>4718439</v>
          </cell>
          <cell r="D59">
            <v>0</v>
          </cell>
          <cell r="E59">
            <v>4718439</v>
          </cell>
          <cell r="F59">
            <v>0</v>
          </cell>
          <cell r="G59">
            <v>4718439</v>
          </cell>
          <cell r="H59">
            <v>0</v>
          </cell>
          <cell r="I59">
            <v>0</v>
          </cell>
          <cell r="J59">
            <v>-4718439</v>
          </cell>
        </row>
        <row r="60">
          <cell r="A60" t="str">
            <v>1-1-70-01-001  IVA CREDITO FISCAL</v>
          </cell>
          <cell r="B60">
            <v>113468744</v>
          </cell>
          <cell r="C60">
            <v>113468744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1-1-70-01-010  INTER. DIF. LEASING 1 SUR 1990 CP</v>
          </cell>
          <cell r="B61">
            <v>0</v>
          </cell>
          <cell r="C61">
            <v>1358464</v>
          </cell>
          <cell r="D61">
            <v>0</v>
          </cell>
          <cell r="E61">
            <v>1358464</v>
          </cell>
          <cell r="F61">
            <v>0</v>
          </cell>
          <cell r="G61">
            <v>1358464</v>
          </cell>
          <cell r="H61">
            <v>0</v>
          </cell>
          <cell r="I61">
            <v>0</v>
          </cell>
          <cell r="J61">
            <v>-1358464</v>
          </cell>
        </row>
        <row r="62">
          <cell r="A62" t="str">
            <v>1-1-70-01-011  INTER. DIF. LEASING SAN JAVIER CP</v>
          </cell>
          <cell r="B62">
            <v>0</v>
          </cell>
          <cell r="C62">
            <v>1168058</v>
          </cell>
          <cell r="D62">
            <v>0</v>
          </cell>
          <cell r="E62">
            <v>1168058</v>
          </cell>
          <cell r="F62">
            <v>0</v>
          </cell>
          <cell r="G62">
            <v>1168058</v>
          </cell>
          <cell r="H62">
            <v>0</v>
          </cell>
          <cell r="I62">
            <v>0</v>
          </cell>
          <cell r="J62">
            <v>-1168058</v>
          </cell>
        </row>
        <row r="63">
          <cell r="A63" t="str">
            <v>1-1-70-01-012  INTER. DIF. LEASING COLIN 0240 CP</v>
          </cell>
          <cell r="B63">
            <v>0</v>
          </cell>
          <cell r="C63">
            <v>2198453</v>
          </cell>
          <cell r="D63">
            <v>0</v>
          </cell>
          <cell r="E63">
            <v>2198453</v>
          </cell>
          <cell r="F63">
            <v>0</v>
          </cell>
          <cell r="G63">
            <v>2198453</v>
          </cell>
          <cell r="H63">
            <v>0</v>
          </cell>
          <cell r="I63">
            <v>0</v>
          </cell>
          <cell r="J63">
            <v>-2198453</v>
          </cell>
        </row>
        <row r="64">
          <cell r="A64" t="str">
            <v>1-1-70-01-013  INTER. DIF. LEASING C. SATELITE CP</v>
          </cell>
          <cell r="B64">
            <v>0</v>
          </cell>
          <cell r="C64">
            <v>3232116</v>
          </cell>
          <cell r="D64">
            <v>0</v>
          </cell>
          <cell r="E64">
            <v>3232116</v>
          </cell>
          <cell r="F64">
            <v>0</v>
          </cell>
          <cell r="G64">
            <v>3232116</v>
          </cell>
          <cell r="H64">
            <v>0</v>
          </cell>
          <cell r="I64">
            <v>0</v>
          </cell>
          <cell r="J64">
            <v>-3232116</v>
          </cell>
        </row>
        <row r="65">
          <cell r="A65" t="str">
            <v>1-1-70-01-014  INTER. DIF. LEASING 11 ORIENTE CP</v>
          </cell>
          <cell r="B65">
            <v>0</v>
          </cell>
          <cell r="C65">
            <v>2036008</v>
          </cell>
          <cell r="D65">
            <v>0</v>
          </cell>
          <cell r="E65">
            <v>2036008</v>
          </cell>
          <cell r="F65">
            <v>0</v>
          </cell>
          <cell r="G65">
            <v>2036008</v>
          </cell>
          <cell r="H65">
            <v>0</v>
          </cell>
          <cell r="I65">
            <v>0</v>
          </cell>
          <cell r="J65">
            <v>-2036008</v>
          </cell>
        </row>
        <row r="66">
          <cell r="A66" t="str">
            <v>1-1-70-01-015  INTER. DIF. LEASING MAIPU 556 CP</v>
          </cell>
          <cell r="B66">
            <v>0</v>
          </cell>
          <cell r="C66">
            <v>1801929</v>
          </cell>
          <cell r="D66">
            <v>0</v>
          </cell>
          <cell r="E66">
            <v>1801929</v>
          </cell>
          <cell r="F66">
            <v>0</v>
          </cell>
          <cell r="G66">
            <v>1801929</v>
          </cell>
          <cell r="H66">
            <v>0</v>
          </cell>
          <cell r="I66">
            <v>0</v>
          </cell>
          <cell r="J66">
            <v>-1801929</v>
          </cell>
        </row>
        <row r="67">
          <cell r="A67" t="str">
            <v>1-1-70-01-016  INTER. DIF. LEASING BRASIL 648 CP</v>
          </cell>
          <cell r="B67">
            <v>0</v>
          </cell>
          <cell r="C67">
            <v>1381479</v>
          </cell>
          <cell r="D67">
            <v>0</v>
          </cell>
          <cell r="E67">
            <v>1381479</v>
          </cell>
          <cell r="F67">
            <v>0</v>
          </cell>
          <cell r="G67">
            <v>1381479</v>
          </cell>
          <cell r="H67">
            <v>0</v>
          </cell>
          <cell r="I67">
            <v>0</v>
          </cell>
          <cell r="J67">
            <v>-1381479</v>
          </cell>
        </row>
        <row r="68">
          <cell r="A68" t="str">
            <v>1-1-70-01-017  INTER. DIF. LEASING VIAL 224 CP</v>
          </cell>
          <cell r="B68">
            <v>0</v>
          </cell>
          <cell r="C68">
            <v>1651769</v>
          </cell>
          <cell r="D68">
            <v>0</v>
          </cell>
          <cell r="E68">
            <v>1651769</v>
          </cell>
          <cell r="F68">
            <v>0</v>
          </cell>
          <cell r="G68">
            <v>1651769</v>
          </cell>
          <cell r="H68">
            <v>0</v>
          </cell>
          <cell r="I68">
            <v>0</v>
          </cell>
          <cell r="J68">
            <v>-1651769</v>
          </cell>
        </row>
        <row r="69">
          <cell r="A69" t="str">
            <v>1-1-70-01-018  INTER. DIF. LEASING TALCA COLIN CP</v>
          </cell>
          <cell r="B69">
            <v>0</v>
          </cell>
          <cell r="C69">
            <v>15207497</v>
          </cell>
          <cell r="D69">
            <v>0</v>
          </cell>
          <cell r="E69">
            <v>15207497</v>
          </cell>
          <cell r="F69">
            <v>0</v>
          </cell>
          <cell r="G69">
            <v>15207497</v>
          </cell>
          <cell r="H69">
            <v>0</v>
          </cell>
          <cell r="I69">
            <v>0</v>
          </cell>
          <cell r="J69">
            <v>-15207497</v>
          </cell>
        </row>
        <row r="70">
          <cell r="A70" t="str">
            <v>1-1-70-01-019  INTER. DIF. HIPOTECARIO CP</v>
          </cell>
          <cell r="B70">
            <v>0</v>
          </cell>
          <cell r="C70">
            <v>4378589</v>
          </cell>
          <cell r="D70">
            <v>0</v>
          </cell>
          <cell r="E70">
            <v>4378589</v>
          </cell>
          <cell r="F70">
            <v>0</v>
          </cell>
          <cell r="G70">
            <v>4378589</v>
          </cell>
          <cell r="H70">
            <v>0</v>
          </cell>
          <cell r="I70">
            <v>0</v>
          </cell>
          <cell r="J70">
            <v>-4378589</v>
          </cell>
        </row>
        <row r="71">
          <cell r="A71" t="str">
            <v>1-1-70-01-020  REMANENTE CR FISCAL</v>
          </cell>
          <cell r="B71">
            <v>1544674</v>
          </cell>
          <cell r="C71">
            <v>57976663</v>
          </cell>
          <cell r="D71">
            <v>0</v>
          </cell>
          <cell r="E71">
            <v>56431989</v>
          </cell>
          <cell r="F71">
            <v>0</v>
          </cell>
          <cell r="G71">
            <v>56431989</v>
          </cell>
          <cell r="H71">
            <v>0</v>
          </cell>
          <cell r="I71">
            <v>0</v>
          </cell>
          <cell r="J71">
            <v>-56431989</v>
          </cell>
        </row>
        <row r="72">
          <cell r="A72" t="str">
            <v>1-1-70-01-021  INTER. DIF. LEASING 1 SUR 1990 LP</v>
          </cell>
          <cell r="B72">
            <v>0</v>
          </cell>
          <cell r="C72">
            <v>173680</v>
          </cell>
          <cell r="D72">
            <v>0</v>
          </cell>
          <cell r="E72">
            <v>173680</v>
          </cell>
          <cell r="F72">
            <v>0</v>
          </cell>
          <cell r="G72">
            <v>173680</v>
          </cell>
          <cell r="H72">
            <v>0</v>
          </cell>
          <cell r="I72">
            <v>0</v>
          </cell>
          <cell r="J72">
            <v>-173680</v>
          </cell>
        </row>
        <row r="73">
          <cell r="A73" t="str">
            <v>1-1-70-01-022  INTER. DIF. LEASING SAN JAVIER LP</v>
          </cell>
          <cell r="B73">
            <v>0</v>
          </cell>
          <cell r="C73">
            <v>149335</v>
          </cell>
          <cell r="D73">
            <v>0</v>
          </cell>
          <cell r="E73">
            <v>149335</v>
          </cell>
          <cell r="F73">
            <v>0</v>
          </cell>
          <cell r="G73">
            <v>149335</v>
          </cell>
          <cell r="H73">
            <v>0</v>
          </cell>
          <cell r="I73">
            <v>0</v>
          </cell>
          <cell r="J73">
            <v>-149335</v>
          </cell>
        </row>
        <row r="74">
          <cell r="A74" t="str">
            <v>1-1-70-01-023  INTER. DIF. LEASING COLIN 0240 LP</v>
          </cell>
          <cell r="B74">
            <v>0</v>
          </cell>
          <cell r="C74">
            <v>281072</v>
          </cell>
          <cell r="D74">
            <v>0</v>
          </cell>
          <cell r="E74">
            <v>281072</v>
          </cell>
          <cell r="F74">
            <v>0</v>
          </cell>
          <cell r="G74">
            <v>281072</v>
          </cell>
          <cell r="H74">
            <v>0</v>
          </cell>
          <cell r="I74">
            <v>0</v>
          </cell>
          <cell r="J74">
            <v>-281072</v>
          </cell>
        </row>
        <row r="75">
          <cell r="A75" t="str">
            <v>1-1-70-01-024  INTER. DIF. LEASING C. SATELITE LP</v>
          </cell>
          <cell r="B75">
            <v>0</v>
          </cell>
          <cell r="C75">
            <v>413223</v>
          </cell>
          <cell r="D75">
            <v>0</v>
          </cell>
          <cell r="E75">
            <v>413223</v>
          </cell>
          <cell r="F75">
            <v>0</v>
          </cell>
          <cell r="G75">
            <v>413223</v>
          </cell>
          <cell r="H75">
            <v>0</v>
          </cell>
          <cell r="I75">
            <v>0</v>
          </cell>
          <cell r="J75">
            <v>-413223</v>
          </cell>
        </row>
        <row r="76">
          <cell r="A76" t="str">
            <v>1-1-70-01-025  INTER. DIF. LEASING 11 ORIENTE LP</v>
          </cell>
          <cell r="B76">
            <v>0</v>
          </cell>
          <cell r="C76">
            <v>1852656</v>
          </cell>
          <cell r="D76">
            <v>0</v>
          </cell>
          <cell r="E76">
            <v>1852656</v>
          </cell>
          <cell r="F76">
            <v>0</v>
          </cell>
          <cell r="G76">
            <v>1852656</v>
          </cell>
          <cell r="H76">
            <v>0</v>
          </cell>
          <cell r="I76">
            <v>0</v>
          </cell>
          <cell r="J76">
            <v>-1852656</v>
          </cell>
        </row>
        <row r="77">
          <cell r="A77" t="str">
            <v>1-1-70-01-026  INTER. DIF. LEASING MAIPU 556 LP</v>
          </cell>
          <cell r="B77">
            <v>0</v>
          </cell>
          <cell r="C77">
            <v>1639659</v>
          </cell>
          <cell r="D77">
            <v>0</v>
          </cell>
          <cell r="E77">
            <v>1639659</v>
          </cell>
          <cell r="F77">
            <v>0</v>
          </cell>
          <cell r="G77">
            <v>1639659</v>
          </cell>
          <cell r="H77">
            <v>0</v>
          </cell>
          <cell r="I77">
            <v>0</v>
          </cell>
          <cell r="J77">
            <v>-1639659</v>
          </cell>
        </row>
        <row r="78">
          <cell r="A78" t="str">
            <v>1-1-70-01-027  INTER. DIF. LEASING BRASIL 648 LP</v>
          </cell>
          <cell r="B78">
            <v>0</v>
          </cell>
          <cell r="C78">
            <v>1257072</v>
          </cell>
          <cell r="D78">
            <v>0</v>
          </cell>
          <cell r="E78">
            <v>1257072</v>
          </cell>
          <cell r="F78">
            <v>0</v>
          </cell>
          <cell r="G78">
            <v>1257072</v>
          </cell>
          <cell r="H78">
            <v>0</v>
          </cell>
          <cell r="I78">
            <v>0</v>
          </cell>
          <cell r="J78">
            <v>-1257072</v>
          </cell>
        </row>
        <row r="79">
          <cell r="A79" t="str">
            <v>1-1-70-01-028  INTER. DIF. LEASING VIAL 224 LP</v>
          </cell>
          <cell r="B79">
            <v>0</v>
          </cell>
          <cell r="C79">
            <v>1503020</v>
          </cell>
          <cell r="D79">
            <v>0</v>
          </cell>
          <cell r="E79">
            <v>1503020</v>
          </cell>
          <cell r="F79">
            <v>0</v>
          </cell>
          <cell r="G79">
            <v>1503020</v>
          </cell>
          <cell r="H79">
            <v>0</v>
          </cell>
          <cell r="I79">
            <v>0</v>
          </cell>
          <cell r="J79">
            <v>-1503020</v>
          </cell>
        </row>
        <row r="80">
          <cell r="A80" t="str">
            <v>1-1-70-01-029  INTER. DIF. LEASING TALCA COLIN LP</v>
          </cell>
          <cell r="B80">
            <v>0</v>
          </cell>
          <cell r="C80">
            <v>29477957</v>
          </cell>
          <cell r="D80">
            <v>0</v>
          </cell>
          <cell r="E80">
            <v>29477957</v>
          </cell>
          <cell r="F80">
            <v>0</v>
          </cell>
          <cell r="G80">
            <v>29477957</v>
          </cell>
          <cell r="H80">
            <v>0</v>
          </cell>
          <cell r="I80">
            <v>0</v>
          </cell>
          <cell r="J80">
            <v>-29477957</v>
          </cell>
        </row>
        <row r="81">
          <cell r="A81" t="str">
            <v>1-1-70-01-030  INTER. DIF. HIPOTECARIO LP</v>
          </cell>
          <cell r="B81">
            <v>0</v>
          </cell>
          <cell r="C81">
            <v>568851</v>
          </cell>
          <cell r="D81">
            <v>0</v>
          </cell>
          <cell r="E81">
            <v>568851</v>
          </cell>
          <cell r="F81">
            <v>0</v>
          </cell>
          <cell r="G81">
            <v>568851</v>
          </cell>
          <cell r="H81">
            <v>0</v>
          </cell>
          <cell r="I81">
            <v>0</v>
          </cell>
          <cell r="J81">
            <v>-568851</v>
          </cell>
        </row>
        <row r="82">
          <cell r="A82" t="str">
            <v>1-2-01-04-004  INMUEBLES FUSIONADOS</v>
          </cell>
          <cell r="B82">
            <v>0</v>
          </cell>
          <cell r="C82">
            <v>9303627614</v>
          </cell>
          <cell r="D82">
            <v>0</v>
          </cell>
          <cell r="E82">
            <v>9303627614</v>
          </cell>
          <cell r="F82">
            <v>0</v>
          </cell>
          <cell r="G82">
            <v>9303627614</v>
          </cell>
          <cell r="H82">
            <v>0</v>
          </cell>
          <cell r="I82">
            <v>0</v>
          </cell>
          <cell r="J82">
            <v>-9303627614</v>
          </cell>
        </row>
        <row r="83">
          <cell r="A83" t="str">
            <v>1-3-01-02-003  BOLETA GARANTIAS LOCATARIOS (ORDEN)</v>
          </cell>
          <cell r="B83">
            <v>56966478</v>
          </cell>
          <cell r="C83">
            <v>0</v>
          </cell>
          <cell r="D83">
            <v>56966478</v>
          </cell>
          <cell r="E83">
            <v>0</v>
          </cell>
          <cell r="F83">
            <v>56966478</v>
          </cell>
          <cell r="G83">
            <v>0</v>
          </cell>
          <cell r="H83">
            <v>0</v>
          </cell>
          <cell r="I83">
            <v>0</v>
          </cell>
          <cell r="J83">
            <v>56966478</v>
          </cell>
        </row>
        <row r="84">
          <cell r="A84" t="str">
            <v>2-1-01-01-009  PRESTAMO  BCO INTERNACIONAL CP M$600</v>
          </cell>
          <cell r="B84">
            <v>26120699</v>
          </cell>
          <cell r="C84">
            <v>70878364</v>
          </cell>
          <cell r="D84">
            <v>0</v>
          </cell>
          <cell r="E84">
            <v>44757665</v>
          </cell>
          <cell r="F84">
            <v>0</v>
          </cell>
          <cell r="G84">
            <v>44757665</v>
          </cell>
          <cell r="H84">
            <v>0</v>
          </cell>
          <cell r="I84">
            <v>0</v>
          </cell>
          <cell r="J84">
            <v>44757665</v>
          </cell>
        </row>
        <row r="85">
          <cell r="A85" t="str">
            <v>2-1-01-01-010  USO LINEA CRÉDITO BANCO SANTANDER</v>
          </cell>
          <cell r="B85">
            <v>915886620</v>
          </cell>
          <cell r="C85">
            <v>632925352</v>
          </cell>
          <cell r="D85">
            <v>282961268</v>
          </cell>
          <cell r="E85">
            <v>0</v>
          </cell>
          <cell r="F85">
            <v>282961268</v>
          </cell>
          <cell r="G85">
            <v>0</v>
          </cell>
          <cell r="H85">
            <v>0</v>
          </cell>
          <cell r="I85">
            <v>0</v>
          </cell>
          <cell r="J85">
            <v>-282961268</v>
          </cell>
        </row>
        <row r="86">
          <cell r="A86" t="str">
            <v>2-1-01-01-011  USO LINEA CREDITO BANCO BCI</v>
          </cell>
          <cell r="B86">
            <v>37724139</v>
          </cell>
          <cell r="C86">
            <v>97767615</v>
          </cell>
          <cell r="D86">
            <v>0</v>
          </cell>
          <cell r="E86">
            <v>60043476</v>
          </cell>
          <cell r="F86">
            <v>0</v>
          </cell>
          <cell r="G86">
            <v>60043476</v>
          </cell>
          <cell r="H86">
            <v>0</v>
          </cell>
          <cell r="I86">
            <v>0</v>
          </cell>
          <cell r="J86">
            <v>60043476</v>
          </cell>
        </row>
        <row r="87">
          <cell r="A87" t="str">
            <v>2-1-01-02-001  OBLIG. LEASING 1 SUR 1990 C/PLAZO</v>
          </cell>
          <cell r="B87">
            <v>7795400</v>
          </cell>
          <cell r="C87">
            <v>22878377</v>
          </cell>
          <cell r="D87">
            <v>0</v>
          </cell>
          <cell r="E87">
            <v>15082977</v>
          </cell>
          <cell r="F87">
            <v>0</v>
          </cell>
          <cell r="G87">
            <v>15082977</v>
          </cell>
          <cell r="H87">
            <v>0</v>
          </cell>
          <cell r="I87">
            <v>0</v>
          </cell>
          <cell r="J87">
            <v>15082977</v>
          </cell>
        </row>
        <row r="88">
          <cell r="A88" t="str">
            <v>2-1-01-02-002  OBLIG. LEASING SAN JAVIER C/PLAZO</v>
          </cell>
          <cell r="B88">
            <v>6702762</v>
          </cell>
          <cell r="C88">
            <v>19671634</v>
          </cell>
          <cell r="D88">
            <v>0</v>
          </cell>
          <cell r="E88">
            <v>12968872</v>
          </cell>
          <cell r="F88">
            <v>0</v>
          </cell>
          <cell r="G88">
            <v>12968872</v>
          </cell>
          <cell r="H88">
            <v>0</v>
          </cell>
          <cell r="I88">
            <v>0</v>
          </cell>
          <cell r="J88">
            <v>12968872</v>
          </cell>
        </row>
        <row r="89">
          <cell r="A89" t="str">
            <v>2-1-01-02-003  OBLIG. LEASING COLIN 0240 TALCA</v>
          </cell>
          <cell r="B89">
            <v>12615555</v>
          </cell>
          <cell r="C89">
            <v>37024825</v>
          </cell>
          <cell r="D89">
            <v>0</v>
          </cell>
          <cell r="E89">
            <v>24409270</v>
          </cell>
          <cell r="F89">
            <v>0</v>
          </cell>
          <cell r="G89">
            <v>24409270</v>
          </cell>
          <cell r="H89">
            <v>0</v>
          </cell>
          <cell r="I89">
            <v>0</v>
          </cell>
          <cell r="J89">
            <v>24409270</v>
          </cell>
        </row>
        <row r="90">
          <cell r="A90" t="str">
            <v>2-1-01-02-004  OBLIG. LEASING C. SATELITE C/PLAZO</v>
          </cell>
          <cell r="B90">
            <v>18547112</v>
          </cell>
          <cell r="C90">
            <v>54433085</v>
          </cell>
          <cell r="D90">
            <v>0</v>
          </cell>
          <cell r="E90">
            <v>35885973</v>
          </cell>
          <cell r="F90">
            <v>0</v>
          </cell>
          <cell r="G90">
            <v>35885973</v>
          </cell>
          <cell r="H90">
            <v>0</v>
          </cell>
          <cell r="I90">
            <v>0</v>
          </cell>
          <cell r="J90">
            <v>35885973</v>
          </cell>
        </row>
        <row r="91">
          <cell r="A91" t="str">
            <v>2-1-01-02-005  OBLIG. LEASING 11 ORIENTE C/PLAZO</v>
          </cell>
          <cell r="B91">
            <v>6611844</v>
          </cell>
          <cell r="C91">
            <v>24411368</v>
          </cell>
          <cell r="D91">
            <v>0</v>
          </cell>
          <cell r="E91">
            <v>17799524</v>
          </cell>
          <cell r="F91">
            <v>0</v>
          </cell>
          <cell r="G91">
            <v>17799524</v>
          </cell>
          <cell r="H91">
            <v>0</v>
          </cell>
          <cell r="I91">
            <v>0</v>
          </cell>
          <cell r="J91">
            <v>17799524</v>
          </cell>
        </row>
        <row r="92">
          <cell r="A92" t="str">
            <v>2-1-01-02-006  OBLIG. LEASING MAIPU 556 C/PLAZO</v>
          </cell>
          <cell r="B92">
            <v>5851687</v>
          </cell>
          <cell r="C92">
            <v>21604820</v>
          </cell>
          <cell r="D92">
            <v>0</v>
          </cell>
          <cell r="E92">
            <v>15753133</v>
          </cell>
          <cell r="F92">
            <v>0</v>
          </cell>
          <cell r="G92">
            <v>15753133</v>
          </cell>
          <cell r="H92">
            <v>0</v>
          </cell>
          <cell r="I92">
            <v>0</v>
          </cell>
          <cell r="J92">
            <v>15753133</v>
          </cell>
        </row>
        <row r="93">
          <cell r="A93" t="str">
            <v>2-1-01-02-007  OBLIG. LEASING BRASIL 648 C/PLAZO</v>
          </cell>
          <cell r="B93">
            <v>4486294</v>
          </cell>
          <cell r="C93">
            <v>16563696</v>
          </cell>
          <cell r="D93">
            <v>0</v>
          </cell>
          <cell r="E93">
            <v>12077402</v>
          </cell>
          <cell r="F93">
            <v>0</v>
          </cell>
          <cell r="G93">
            <v>12077402</v>
          </cell>
          <cell r="H93">
            <v>0</v>
          </cell>
          <cell r="I93">
            <v>0</v>
          </cell>
          <cell r="J93">
            <v>12077402</v>
          </cell>
        </row>
        <row r="94">
          <cell r="A94" t="str">
            <v>2-1-01-02-008  OBLIG. LEASING VIAL 224 C/PLAZO</v>
          </cell>
          <cell r="B94">
            <v>5364047</v>
          </cell>
          <cell r="C94">
            <v>19804420</v>
          </cell>
          <cell r="D94">
            <v>0</v>
          </cell>
          <cell r="E94">
            <v>14440373</v>
          </cell>
          <cell r="F94">
            <v>0</v>
          </cell>
          <cell r="G94">
            <v>14440373</v>
          </cell>
          <cell r="H94">
            <v>0</v>
          </cell>
          <cell r="I94">
            <v>0</v>
          </cell>
          <cell r="J94">
            <v>14440373</v>
          </cell>
        </row>
        <row r="95">
          <cell r="A95" t="str">
            <v>2-1-01-02-009  OBLIG. LEASING TALCA COLIN C/PLAZO</v>
          </cell>
          <cell r="B95">
            <v>48533763</v>
          </cell>
          <cell r="C95">
            <v>178927323</v>
          </cell>
          <cell r="D95">
            <v>0</v>
          </cell>
          <cell r="E95">
            <v>130393560</v>
          </cell>
          <cell r="F95">
            <v>0</v>
          </cell>
          <cell r="G95">
            <v>130393560</v>
          </cell>
          <cell r="H95">
            <v>0</v>
          </cell>
          <cell r="I95">
            <v>0</v>
          </cell>
          <cell r="J95">
            <v>130393560</v>
          </cell>
        </row>
        <row r="96">
          <cell r="A96" t="str">
            <v>2-1-01-02-010  OBLIG. HIPOTECARIO C/PLAZO</v>
          </cell>
          <cell r="B96">
            <v>14741632</v>
          </cell>
          <cell r="C96">
            <v>42600655</v>
          </cell>
          <cell r="D96">
            <v>0</v>
          </cell>
          <cell r="E96">
            <v>27859023</v>
          </cell>
          <cell r="F96">
            <v>0</v>
          </cell>
          <cell r="G96">
            <v>27859023</v>
          </cell>
          <cell r="H96">
            <v>0</v>
          </cell>
          <cell r="I96">
            <v>0</v>
          </cell>
          <cell r="J96">
            <v>27859023</v>
          </cell>
        </row>
        <row r="97">
          <cell r="A97" t="str">
            <v>2-1-01-02-011  OBLIG.LEASING VALPO  C/P</v>
          </cell>
          <cell r="B97">
            <v>24081724</v>
          </cell>
          <cell r="C97">
            <v>100833562</v>
          </cell>
          <cell r="D97">
            <v>0</v>
          </cell>
          <cell r="E97">
            <v>76751838</v>
          </cell>
          <cell r="F97">
            <v>0</v>
          </cell>
          <cell r="G97">
            <v>76751838</v>
          </cell>
          <cell r="H97">
            <v>0</v>
          </cell>
          <cell r="I97">
            <v>0</v>
          </cell>
          <cell r="J97">
            <v>76751838</v>
          </cell>
        </row>
        <row r="98">
          <cell r="A98" t="str">
            <v>2-1-01-02-012  OBLIG.LEASING CAUQUENES C/P</v>
          </cell>
          <cell r="B98">
            <v>9021913</v>
          </cell>
          <cell r="C98">
            <v>37947746</v>
          </cell>
          <cell r="D98">
            <v>0</v>
          </cell>
          <cell r="E98">
            <v>28925833</v>
          </cell>
          <cell r="F98">
            <v>0</v>
          </cell>
          <cell r="G98">
            <v>28925833</v>
          </cell>
          <cell r="H98">
            <v>0</v>
          </cell>
          <cell r="I98">
            <v>0</v>
          </cell>
          <cell r="J98">
            <v>28925833</v>
          </cell>
        </row>
        <row r="99">
          <cell r="A99" t="str">
            <v>2-1-01-02-013  OBLIG. LEASING OUTLET C/P</v>
          </cell>
          <cell r="B99">
            <v>66495594</v>
          </cell>
          <cell r="C99">
            <v>286252504</v>
          </cell>
          <cell r="D99">
            <v>0</v>
          </cell>
          <cell r="E99">
            <v>219756910</v>
          </cell>
          <cell r="F99">
            <v>0</v>
          </cell>
          <cell r="G99">
            <v>219756910</v>
          </cell>
          <cell r="H99">
            <v>0</v>
          </cell>
          <cell r="I99">
            <v>0</v>
          </cell>
          <cell r="J99">
            <v>219756910</v>
          </cell>
        </row>
        <row r="100">
          <cell r="A100" t="str">
            <v>2-1-01-02-014  OBLIG HIPOTECARIO LOS MORRO CP</v>
          </cell>
          <cell r="B100">
            <v>34517559</v>
          </cell>
          <cell r="C100">
            <v>143672606</v>
          </cell>
          <cell r="D100">
            <v>0</v>
          </cell>
          <cell r="E100">
            <v>109155047</v>
          </cell>
          <cell r="F100">
            <v>0</v>
          </cell>
          <cell r="G100">
            <v>109155047</v>
          </cell>
          <cell r="H100">
            <v>0</v>
          </cell>
          <cell r="I100">
            <v>0</v>
          </cell>
          <cell r="J100">
            <v>109155047</v>
          </cell>
        </row>
        <row r="101">
          <cell r="A101" t="str">
            <v>2-1-01-03-002  OBLIG LEASING VEHICULOS  CP 2</v>
          </cell>
          <cell r="B101">
            <v>3499977</v>
          </cell>
          <cell r="C101">
            <v>11774126</v>
          </cell>
          <cell r="D101">
            <v>0</v>
          </cell>
          <cell r="E101">
            <v>8274149</v>
          </cell>
          <cell r="F101">
            <v>0</v>
          </cell>
          <cell r="G101">
            <v>8274149</v>
          </cell>
          <cell r="H101">
            <v>0</v>
          </cell>
          <cell r="I101">
            <v>0</v>
          </cell>
          <cell r="J101">
            <v>8274149</v>
          </cell>
        </row>
        <row r="102">
          <cell r="A102" t="str">
            <v>2-1-02-01-005  MUTUOS POR PAGAR</v>
          </cell>
          <cell r="B102">
            <v>4914597839</v>
          </cell>
          <cell r="C102">
            <v>178277611</v>
          </cell>
          <cell r="D102">
            <v>4736320228</v>
          </cell>
          <cell r="E102">
            <v>0</v>
          </cell>
          <cell r="F102">
            <v>4736320228</v>
          </cell>
          <cell r="G102">
            <v>0</v>
          </cell>
          <cell r="H102">
            <v>0</v>
          </cell>
          <cell r="I102">
            <v>0</v>
          </cell>
          <cell r="J102">
            <v>-4736320228</v>
          </cell>
        </row>
        <row r="103">
          <cell r="A103" t="str">
            <v>2-1-02-01-008  REMUNERACIONES POR PAGAR (2)</v>
          </cell>
          <cell r="B103">
            <v>76137843</v>
          </cell>
          <cell r="C103">
            <v>76137843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2-1-02-01-009  CUENTA POR PAGAR INVERSIONES NUEVA SANTA FIDELMIRA LIMITADA</v>
          </cell>
          <cell r="B104">
            <v>14331779</v>
          </cell>
          <cell r="C104">
            <v>149825310</v>
          </cell>
          <cell r="D104">
            <v>0</v>
          </cell>
          <cell r="E104">
            <v>135493531</v>
          </cell>
          <cell r="F104">
            <v>0</v>
          </cell>
          <cell r="G104">
            <v>135493531</v>
          </cell>
          <cell r="H104">
            <v>0</v>
          </cell>
          <cell r="I104">
            <v>0</v>
          </cell>
          <cell r="J104">
            <v>135493531</v>
          </cell>
        </row>
        <row r="105">
          <cell r="A105" t="str">
            <v>2-1-03-01-001  GARANTIAS RECIBIDAS ARRENDATARIOS (CLP)</v>
          </cell>
          <cell r="B105">
            <v>1246426</v>
          </cell>
          <cell r="C105">
            <v>0</v>
          </cell>
          <cell r="D105">
            <v>1246426</v>
          </cell>
          <cell r="E105">
            <v>0</v>
          </cell>
          <cell r="F105">
            <v>1246426</v>
          </cell>
          <cell r="G105">
            <v>0</v>
          </cell>
          <cell r="H105">
            <v>0</v>
          </cell>
          <cell r="I105">
            <v>0</v>
          </cell>
          <cell r="J105">
            <v>-1246426</v>
          </cell>
        </row>
        <row r="106">
          <cell r="A106" t="str">
            <v>2-1-03-01-002  GARANTIAS RECIBIDAS ARRENDATARIOS (UF)</v>
          </cell>
          <cell r="B106">
            <v>5675651</v>
          </cell>
          <cell r="C106">
            <v>200161447</v>
          </cell>
          <cell r="D106">
            <v>0</v>
          </cell>
          <cell r="E106">
            <v>194485796</v>
          </cell>
          <cell r="F106">
            <v>0</v>
          </cell>
          <cell r="G106">
            <v>194485796</v>
          </cell>
          <cell r="H106">
            <v>0</v>
          </cell>
          <cell r="I106">
            <v>0</v>
          </cell>
          <cell r="J106">
            <v>194485796</v>
          </cell>
        </row>
        <row r="107">
          <cell r="A107" t="str">
            <v>2-1-03-01-008  CTA X PAGAR ISF DOLAR</v>
          </cell>
          <cell r="B107">
            <v>128780012</v>
          </cell>
          <cell r="C107">
            <v>0</v>
          </cell>
          <cell r="D107">
            <v>128780012</v>
          </cell>
          <cell r="E107">
            <v>0</v>
          </cell>
          <cell r="F107">
            <v>128780012</v>
          </cell>
          <cell r="G107">
            <v>0</v>
          </cell>
          <cell r="H107">
            <v>0</v>
          </cell>
          <cell r="I107">
            <v>0</v>
          </cell>
          <cell r="J107">
            <v>-128780012</v>
          </cell>
        </row>
        <row r="108">
          <cell r="A108" t="str">
            <v>2-1-03-01-009  BOLETA GARANTIAS LOCATARIOS (ORDEN)</v>
          </cell>
          <cell r="B108">
            <v>0</v>
          </cell>
          <cell r="C108">
            <v>56966478</v>
          </cell>
          <cell r="D108">
            <v>0</v>
          </cell>
          <cell r="E108">
            <v>56966478</v>
          </cell>
          <cell r="F108">
            <v>0</v>
          </cell>
          <cell r="G108">
            <v>56966478</v>
          </cell>
          <cell r="H108">
            <v>0</v>
          </cell>
          <cell r="I108">
            <v>0</v>
          </cell>
          <cell r="J108">
            <v>56966478</v>
          </cell>
        </row>
        <row r="109">
          <cell r="A109" t="str">
            <v>2-1-03-02-001  ANTICIPO DE CLIENTES</v>
          </cell>
          <cell r="B109">
            <v>220514763</v>
          </cell>
          <cell r="C109">
            <v>218313071</v>
          </cell>
          <cell r="D109">
            <v>2201692</v>
          </cell>
          <cell r="E109">
            <v>0</v>
          </cell>
          <cell r="F109">
            <v>2201692</v>
          </cell>
          <cell r="G109">
            <v>0</v>
          </cell>
          <cell r="H109">
            <v>0</v>
          </cell>
          <cell r="I109">
            <v>0</v>
          </cell>
          <cell r="J109">
            <v>-2201692</v>
          </cell>
        </row>
        <row r="110">
          <cell r="A110" t="str">
            <v>2-1-04-01-001  IVA DEBITO FISCAL</v>
          </cell>
          <cell r="B110">
            <v>185828631</v>
          </cell>
          <cell r="C110">
            <v>185828631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2-1-04-01-002  IMPUESTO UNICO</v>
          </cell>
          <cell r="B111">
            <v>24011158</v>
          </cell>
          <cell r="C111">
            <v>24080223</v>
          </cell>
          <cell r="D111">
            <v>0</v>
          </cell>
          <cell r="E111">
            <v>69065</v>
          </cell>
          <cell r="F111">
            <v>0</v>
          </cell>
          <cell r="G111">
            <v>69065</v>
          </cell>
          <cell r="H111">
            <v>0</v>
          </cell>
          <cell r="I111">
            <v>0</v>
          </cell>
          <cell r="J111">
            <v>69065</v>
          </cell>
        </row>
        <row r="112">
          <cell r="A112" t="str">
            <v>2-1-04-01-003  IMPUESTO 2° CATEGORIA</v>
          </cell>
          <cell r="B112">
            <v>2278401</v>
          </cell>
          <cell r="C112">
            <v>2405512</v>
          </cell>
          <cell r="D112">
            <v>0</v>
          </cell>
          <cell r="E112">
            <v>127111</v>
          </cell>
          <cell r="F112">
            <v>0</v>
          </cell>
          <cell r="G112">
            <v>127111</v>
          </cell>
          <cell r="H112">
            <v>0</v>
          </cell>
          <cell r="I112">
            <v>0</v>
          </cell>
          <cell r="J112">
            <v>127111</v>
          </cell>
        </row>
        <row r="113">
          <cell r="A113" t="str">
            <v>2-1-04-01-005  IMPOSICIONES POR PAGAR</v>
          </cell>
          <cell r="B113">
            <v>9815789</v>
          </cell>
          <cell r="C113">
            <v>10229899</v>
          </cell>
          <cell r="D113">
            <v>0</v>
          </cell>
          <cell r="E113">
            <v>414110</v>
          </cell>
          <cell r="F113">
            <v>0</v>
          </cell>
          <cell r="G113">
            <v>414110</v>
          </cell>
          <cell r="H113">
            <v>0</v>
          </cell>
          <cell r="I113">
            <v>0</v>
          </cell>
          <cell r="J113">
            <v>414110</v>
          </cell>
        </row>
        <row r="114">
          <cell r="A114" t="str">
            <v>2-1-06-01-001  PROVEEDORES 2</v>
          </cell>
          <cell r="B114">
            <v>1405663324</v>
          </cell>
          <cell r="C114">
            <v>1458503838</v>
          </cell>
          <cell r="D114">
            <v>0</v>
          </cell>
          <cell r="E114">
            <v>52840514</v>
          </cell>
          <cell r="F114">
            <v>0</v>
          </cell>
          <cell r="G114">
            <v>52840514</v>
          </cell>
          <cell r="H114">
            <v>0</v>
          </cell>
          <cell r="I114">
            <v>0</v>
          </cell>
          <cell r="J114">
            <v>52840514</v>
          </cell>
        </row>
        <row r="115">
          <cell r="A115" t="str">
            <v>2-1-06-01-002  HONORARIOS POR PAGAR 2</v>
          </cell>
          <cell r="B115">
            <v>9044115</v>
          </cell>
          <cell r="C115">
            <v>13955148</v>
          </cell>
          <cell r="D115">
            <v>0</v>
          </cell>
          <cell r="E115">
            <v>4911033</v>
          </cell>
          <cell r="F115">
            <v>0</v>
          </cell>
          <cell r="G115">
            <v>4911033</v>
          </cell>
          <cell r="H115">
            <v>0</v>
          </cell>
          <cell r="I115">
            <v>0</v>
          </cell>
          <cell r="J115">
            <v>4911033</v>
          </cell>
        </row>
        <row r="116">
          <cell r="A116" t="str">
            <v>2-1-06-01-006  CHEQUES GIRADOS POR PAGAR 2</v>
          </cell>
          <cell r="B116">
            <v>430695693</v>
          </cell>
          <cell r="C116">
            <v>384997111</v>
          </cell>
          <cell r="D116">
            <v>45698582</v>
          </cell>
          <cell r="E116">
            <v>0</v>
          </cell>
          <cell r="F116">
            <v>45698582</v>
          </cell>
          <cell r="G116">
            <v>0</v>
          </cell>
          <cell r="H116">
            <v>0</v>
          </cell>
          <cell r="I116">
            <v>0</v>
          </cell>
          <cell r="J116">
            <v>-45698582</v>
          </cell>
        </row>
        <row r="117">
          <cell r="A117" t="str">
            <v>2-1-06-01-007  SEGURO SALUD COMPLEMENTARIO</v>
          </cell>
          <cell r="B117">
            <v>293067</v>
          </cell>
          <cell r="C117">
            <v>293067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</row>
        <row r="118">
          <cell r="A118" t="str">
            <v>2-2-01-01-002  OBLIGACIONES HIPOTECARIO L/P</v>
          </cell>
          <cell r="B118">
            <v>47548095</v>
          </cell>
          <cell r="C118">
            <v>0</v>
          </cell>
          <cell r="D118">
            <v>47548095</v>
          </cell>
          <cell r="E118">
            <v>0</v>
          </cell>
          <cell r="F118">
            <v>47548095</v>
          </cell>
          <cell r="G118">
            <v>0</v>
          </cell>
          <cell r="H118">
            <v>0</v>
          </cell>
          <cell r="I118">
            <v>0</v>
          </cell>
          <cell r="J118">
            <v>-47548095</v>
          </cell>
        </row>
        <row r="119">
          <cell r="A119" t="str">
            <v>2-2-01-01-004  PRESTAMO  BCO INTERNACIONAL LP M$600</v>
          </cell>
          <cell r="B119">
            <v>88790004</v>
          </cell>
          <cell r="C119">
            <v>0</v>
          </cell>
          <cell r="D119">
            <v>88790004</v>
          </cell>
          <cell r="E119">
            <v>0</v>
          </cell>
          <cell r="F119">
            <v>88790004</v>
          </cell>
          <cell r="G119">
            <v>0</v>
          </cell>
          <cell r="H119">
            <v>0</v>
          </cell>
          <cell r="I119">
            <v>0</v>
          </cell>
          <cell r="J119">
            <v>-88790004</v>
          </cell>
        </row>
        <row r="120">
          <cell r="A120" t="str">
            <v>2-2-01-02-001  OBLIG. LEASING 1 SUR 1990 L/PLAZO</v>
          </cell>
          <cell r="B120">
            <v>24410521</v>
          </cell>
          <cell r="C120">
            <v>0</v>
          </cell>
          <cell r="D120">
            <v>24410521</v>
          </cell>
          <cell r="E120">
            <v>0</v>
          </cell>
          <cell r="F120">
            <v>24410521</v>
          </cell>
          <cell r="G120">
            <v>0</v>
          </cell>
          <cell r="H120">
            <v>0</v>
          </cell>
          <cell r="I120">
            <v>0</v>
          </cell>
          <cell r="J120">
            <v>-24410521</v>
          </cell>
        </row>
        <row r="121">
          <cell r="A121" t="str">
            <v>2-2-01-02-002  OBLIG. LEASING SAN JAVIER L/PLAZO</v>
          </cell>
          <cell r="B121">
            <v>20989024</v>
          </cell>
          <cell r="C121">
            <v>0</v>
          </cell>
          <cell r="D121">
            <v>20989024</v>
          </cell>
          <cell r="E121">
            <v>0</v>
          </cell>
          <cell r="F121">
            <v>20989024</v>
          </cell>
          <cell r="G121">
            <v>0</v>
          </cell>
          <cell r="H121">
            <v>0</v>
          </cell>
          <cell r="I121">
            <v>0</v>
          </cell>
          <cell r="J121">
            <v>-20989024</v>
          </cell>
        </row>
        <row r="122">
          <cell r="A122" t="str">
            <v>2-2-01-02-003  OBLIG. LEASING COLIN 0240 L/PLAZO</v>
          </cell>
          <cell r="B122">
            <v>39504350</v>
          </cell>
          <cell r="C122">
            <v>0</v>
          </cell>
          <cell r="D122">
            <v>39504350</v>
          </cell>
          <cell r="E122">
            <v>0</v>
          </cell>
          <cell r="F122">
            <v>39504350</v>
          </cell>
          <cell r="G122">
            <v>0</v>
          </cell>
          <cell r="H122">
            <v>0</v>
          </cell>
          <cell r="I122">
            <v>0</v>
          </cell>
          <cell r="J122">
            <v>-39504350</v>
          </cell>
        </row>
        <row r="123">
          <cell r="A123" t="str">
            <v>2-2-01-02-004  OBLIG. LEASING C. SATELITE L/PLAZO</v>
          </cell>
          <cell r="B123">
            <v>58078424</v>
          </cell>
          <cell r="C123">
            <v>0</v>
          </cell>
          <cell r="D123">
            <v>58078424</v>
          </cell>
          <cell r="E123">
            <v>0</v>
          </cell>
          <cell r="F123">
            <v>58078424</v>
          </cell>
          <cell r="G123">
            <v>0</v>
          </cell>
          <cell r="H123">
            <v>0</v>
          </cell>
          <cell r="I123">
            <v>0</v>
          </cell>
          <cell r="J123">
            <v>-58078424</v>
          </cell>
        </row>
        <row r="124">
          <cell r="A124" t="str">
            <v>2-2-01-02-005  OBLIG. LEASING 11 ORIENTE 1550 L/PLAZO</v>
          </cell>
          <cell r="B124">
            <v>28300032</v>
          </cell>
          <cell r="C124">
            <v>0</v>
          </cell>
          <cell r="D124">
            <v>28300032</v>
          </cell>
          <cell r="E124">
            <v>0</v>
          </cell>
          <cell r="F124">
            <v>28300032</v>
          </cell>
          <cell r="G124">
            <v>0</v>
          </cell>
          <cell r="H124">
            <v>0</v>
          </cell>
          <cell r="I124">
            <v>0</v>
          </cell>
          <cell r="J124">
            <v>-28300032</v>
          </cell>
        </row>
        <row r="125">
          <cell r="A125" t="str">
            <v>2-2-01-02-006  OBLIG. LEASING MAIPU 556 L/PLAZO</v>
          </cell>
          <cell r="B125">
            <v>25046408</v>
          </cell>
          <cell r="C125">
            <v>0</v>
          </cell>
          <cell r="D125">
            <v>25046408</v>
          </cell>
          <cell r="E125">
            <v>0</v>
          </cell>
          <cell r="F125">
            <v>25046408</v>
          </cell>
          <cell r="G125">
            <v>0</v>
          </cell>
          <cell r="H125">
            <v>0</v>
          </cell>
          <cell r="I125">
            <v>0</v>
          </cell>
          <cell r="J125">
            <v>-25046408</v>
          </cell>
        </row>
        <row r="126">
          <cell r="A126" t="str">
            <v>2-2-01-02-007  OBLIG. LEASING BRASIL 648 L/PLAZO</v>
          </cell>
          <cell r="B126">
            <v>19202247</v>
          </cell>
          <cell r="C126">
            <v>0</v>
          </cell>
          <cell r="D126">
            <v>19202247</v>
          </cell>
          <cell r="E126">
            <v>0</v>
          </cell>
          <cell r="F126">
            <v>19202247</v>
          </cell>
          <cell r="G126">
            <v>0</v>
          </cell>
          <cell r="H126">
            <v>0</v>
          </cell>
          <cell r="I126">
            <v>0</v>
          </cell>
          <cell r="J126">
            <v>-19202247</v>
          </cell>
        </row>
        <row r="127">
          <cell r="A127" t="str">
            <v>2-2-01-02-008  OBLIG. LEASING VIAL 224 L/PLAZO</v>
          </cell>
          <cell r="B127">
            <v>22959209</v>
          </cell>
          <cell r="C127">
            <v>0</v>
          </cell>
          <cell r="D127">
            <v>22959209</v>
          </cell>
          <cell r="E127">
            <v>0</v>
          </cell>
          <cell r="F127">
            <v>22959209</v>
          </cell>
          <cell r="G127">
            <v>0</v>
          </cell>
          <cell r="H127">
            <v>0</v>
          </cell>
          <cell r="I127">
            <v>0</v>
          </cell>
          <cell r="J127">
            <v>-22959209</v>
          </cell>
        </row>
        <row r="128">
          <cell r="A128" t="str">
            <v>2-2-01-02-009  OBLIG. LEASING TALCA COLIN L/PLAZO</v>
          </cell>
          <cell r="B128">
            <v>223612777</v>
          </cell>
          <cell r="C128">
            <v>0</v>
          </cell>
          <cell r="D128">
            <v>223612777</v>
          </cell>
          <cell r="E128">
            <v>0</v>
          </cell>
          <cell r="F128">
            <v>223612777</v>
          </cell>
          <cell r="G128">
            <v>0</v>
          </cell>
          <cell r="H128">
            <v>0</v>
          </cell>
          <cell r="I128">
            <v>0</v>
          </cell>
          <cell r="J128">
            <v>-223612777</v>
          </cell>
        </row>
        <row r="129">
          <cell r="A129" t="str">
            <v>2-2-01-02-010  OBLIG.LEASING  VALPO L/P</v>
          </cell>
          <cell r="B129">
            <v>66966703</v>
          </cell>
          <cell r="C129">
            <v>0</v>
          </cell>
          <cell r="D129">
            <v>66966703</v>
          </cell>
          <cell r="E129">
            <v>0</v>
          </cell>
          <cell r="F129">
            <v>66966703</v>
          </cell>
          <cell r="G129">
            <v>0</v>
          </cell>
          <cell r="H129">
            <v>0</v>
          </cell>
          <cell r="I129">
            <v>0</v>
          </cell>
          <cell r="J129">
            <v>-66966703</v>
          </cell>
        </row>
        <row r="130">
          <cell r="A130" t="str">
            <v>2-2-01-02-011  OBLIG.LEASING CAUQUENES  L/P</v>
          </cell>
          <cell r="B130">
            <v>28606359</v>
          </cell>
          <cell r="C130">
            <v>0</v>
          </cell>
          <cell r="D130">
            <v>28606359</v>
          </cell>
          <cell r="E130">
            <v>0</v>
          </cell>
          <cell r="F130">
            <v>28606359</v>
          </cell>
          <cell r="G130">
            <v>0</v>
          </cell>
          <cell r="H130">
            <v>0</v>
          </cell>
          <cell r="I130">
            <v>0</v>
          </cell>
          <cell r="J130">
            <v>-28606359</v>
          </cell>
        </row>
        <row r="131">
          <cell r="A131" t="str">
            <v>2-2-01-02-012  OBLIGAC. LEASING OUTLET L/P</v>
          </cell>
          <cell r="B131">
            <v>107171410</v>
          </cell>
          <cell r="C131">
            <v>0</v>
          </cell>
          <cell r="D131">
            <v>107171410</v>
          </cell>
          <cell r="E131">
            <v>0</v>
          </cell>
          <cell r="F131">
            <v>107171410</v>
          </cell>
          <cell r="G131">
            <v>0</v>
          </cell>
          <cell r="H131">
            <v>0</v>
          </cell>
          <cell r="I131">
            <v>0</v>
          </cell>
          <cell r="J131">
            <v>-107171410</v>
          </cell>
        </row>
        <row r="132">
          <cell r="A132" t="str">
            <v>2-2-01-02-013  OBLIG LEASING VEHICULOS LP</v>
          </cell>
          <cell r="B132">
            <v>11011053</v>
          </cell>
          <cell r="C132">
            <v>0</v>
          </cell>
          <cell r="D132">
            <v>11011053</v>
          </cell>
          <cell r="E132">
            <v>0</v>
          </cell>
          <cell r="F132">
            <v>11011053</v>
          </cell>
          <cell r="G132">
            <v>0</v>
          </cell>
          <cell r="H132">
            <v>0</v>
          </cell>
          <cell r="I132">
            <v>0</v>
          </cell>
          <cell r="J132">
            <v>-11011053</v>
          </cell>
        </row>
        <row r="133">
          <cell r="A133" t="str">
            <v>2-2-01-02-014  OBLIG HIPOTECARIO LOS MORRO LP</v>
          </cell>
          <cell r="B133">
            <v>45517020</v>
          </cell>
          <cell r="C133">
            <v>0</v>
          </cell>
          <cell r="D133">
            <v>45517020</v>
          </cell>
          <cell r="E133">
            <v>0</v>
          </cell>
          <cell r="F133">
            <v>45517020</v>
          </cell>
          <cell r="G133">
            <v>0</v>
          </cell>
          <cell r="H133">
            <v>0</v>
          </cell>
          <cell r="I133">
            <v>0</v>
          </cell>
          <cell r="J133">
            <v>-45517020</v>
          </cell>
        </row>
        <row r="134">
          <cell r="A134" t="str">
            <v>3-2-01-01-002  RESULTADOS ACUMULADOS</v>
          </cell>
          <cell r="B134">
            <v>2014183151</v>
          </cell>
          <cell r="C134">
            <v>0</v>
          </cell>
          <cell r="D134">
            <v>2014183151</v>
          </cell>
          <cell r="E134">
            <v>0</v>
          </cell>
          <cell r="F134">
            <v>2014183151</v>
          </cell>
          <cell r="G134">
            <v>0</v>
          </cell>
          <cell r="H134">
            <v>0</v>
          </cell>
          <cell r="I134">
            <v>0</v>
          </cell>
          <cell r="J134">
            <v>-2014183151</v>
          </cell>
        </row>
        <row r="135">
          <cell r="A135" t="str">
            <v>4-1-01-01-001  ARRIENDO FIJO</v>
          </cell>
          <cell r="B135">
            <v>9328250</v>
          </cell>
          <cell r="C135">
            <v>811488811</v>
          </cell>
          <cell r="D135">
            <v>0</v>
          </cell>
          <cell r="E135">
            <v>802160561</v>
          </cell>
          <cell r="F135">
            <v>0</v>
          </cell>
          <cell r="G135">
            <v>0</v>
          </cell>
          <cell r="H135">
            <v>0</v>
          </cell>
          <cell r="I135">
            <v>802160561</v>
          </cell>
          <cell r="J135">
            <v>802160561</v>
          </cell>
        </row>
        <row r="136">
          <cell r="A136" t="str">
            <v>4-1-01-01-002  ARRIENDO VARIABLE</v>
          </cell>
          <cell r="B136">
            <v>2432692</v>
          </cell>
          <cell r="C136">
            <v>137085898</v>
          </cell>
          <cell r="D136">
            <v>0</v>
          </cell>
          <cell r="E136">
            <v>134653206</v>
          </cell>
          <cell r="F136">
            <v>0</v>
          </cell>
          <cell r="G136">
            <v>0</v>
          </cell>
          <cell r="H136">
            <v>0</v>
          </cell>
          <cell r="I136">
            <v>134653206</v>
          </cell>
          <cell r="J136">
            <v>134653206</v>
          </cell>
        </row>
        <row r="137">
          <cell r="A137" t="str">
            <v>4-1-01-01-005  CONSUMOS DE AGUAS</v>
          </cell>
          <cell r="B137">
            <v>0</v>
          </cell>
          <cell r="C137">
            <v>7268186</v>
          </cell>
          <cell r="D137">
            <v>0</v>
          </cell>
          <cell r="E137">
            <v>7268186</v>
          </cell>
          <cell r="F137">
            <v>0</v>
          </cell>
          <cell r="G137">
            <v>0</v>
          </cell>
          <cell r="H137">
            <v>0</v>
          </cell>
          <cell r="I137">
            <v>7268186</v>
          </cell>
          <cell r="J137">
            <v>7268186</v>
          </cell>
        </row>
        <row r="138">
          <cell r="A138" t="str">
            <v>4-1-01-01-006  CONSUMOS DE LUZ</v>
          </cell>
          <cell r="B138">
            <v>0</v>
          </cell>
          <cell r="C138">
            <v>122681128</v>
          </cell>
          <cell r="D138">
            <v>0</v>
          </cell>
          <cell r="E138">
            <v>122681128</v>
          </cell>
          <cell r="F138">
            <v>0</v>
          </cell>
          <cell r="G138">
            <v>0</v>
          </cell>
          <cell r="H138">
            <v>0</v>
          </cell>
          <cell r="I138">
            <v>122681128</v>
          </cell>
          <cell r="J138">
            <v>122681128</v>
          </cell>
        </row>
        <row r="139">
          <cell r="A139" t="str">
            <v>4-1-01-01-007  CONSUMOS DE GAS</v>
          </cell>
          <cell r="B139">
            <v>0</v>
          </cell>
          <cell r="C139">
            <v>1970188</v>
          </cell>
          <cell r="D139">
            <v>0</v>
          </cell>
          <cell r="E139">
            <v>1970188</v>
          </cell>
          <cell r="F139">
            <v>0</v>
          </cell>
          <cell r="G139">
            <v>0</v>
          </cell>
          <cell r="H139">
            <v>0</v>
          </cell>
          <cell r="I139">
            <v>1970188</v>
          </cell>
          <cell r="J139">
            <v>1970188</v>
          </cell>
        </row>
        <row r="140">
          <cell r="A140" t="str">
            <v>4-1-01-01-008  GASTOS COMUNES</v>
          </cell>
          <cell r="B140">
            <v>0</v>
          </cell>
          <cell r="C140">
            <v>87044706</v>
          </cell>
          <cell r="D140">
            <v>0</v>
          </cell>
          <cell r="E140">
            <v>87044706</v>
          </cell>
          <cell r="F140">
            <v>0</v>
          </cell>
          <cell r="G140">
            <v>0</v>
          </cell>
          <cell r="H140">
            <v>0</v>
          </cell>
          <cell r="I140">
            <v>87044706</v>
          </cell>
          <cell r="J140">
            <v>87044706</v>
          </cell>
        </row>
        <row r="141">
          <cell r="A141" t="str">
            <v>4-1-01-01-013  VARIOS</v>
          </cell>
          <cell r="B141">
            <v>0</v>
          </cell>
          <cell r="C141">
            <v>232728103</v>
          </cell>
          <cell r="D141">
            <v>0</v>
          </cell>
          <cell r="E141">
            <v>232728103</v>
          </cell>
          <cell r="F141">
            <v>0</v>
          </cell>
          <cell r="G141">
            <v>0</v>
          </cell>
          <cell r="H141">
            <v>0</v>
          </cell>
          <cell r="I141">
            <v>232728103</v>
          </cell>
          <cell r="J141">
            <v>232728103</v>
          </cell>
        </row>
        <row r="142">
          <cell r="A142" t="str">
            <v>4-2-01-01-005  INTERESES DE PAGARE</v>
          </cell>
          <cell r="B142">
            <v>0</v>
          </cell>
          <cell r="C142">
            <v>22148752</v>
          </cell>
          <cell r="D142">
            <v>0</v>
          </cell>
          <cell r="E142">
            <v>22148752</v>
          </cell>
          <cell r="F142">
            <v>0</v>
          </cell>
          <cell r="G142">
            <v>0</v>
          </cell>
          <cell r="H142">
            <v>0</v>
          </cell>
          <cell r="I142">
            <v>22148752</v>
          </cell>
          <cell r="J142">
            <v>22148752</v>
          </cell>
        </row>
        <row r="143">
          <cell r="A143" t="str">
            <v>4-2-01-01-006  INTERESES DAP US$ BCI</v>
          </cell>
          <cell r="B143">
            <v>0</v>
          </cell>
          <cell r="C143">
            <v>432918</v>
          </cell>
          <cell r="D143">
            <v>0</v>
          </cell>
          <cell r="E143">
            <v>432918</v>
          </cell>
          <cell r="F143">
            <v>0</v>
          </cell>
          <cell r="G143">
            <v>0</v>
          </cell>
          <cell r="H143">
            <v>0</v>
          </cell>
          <cell r="I143">
            <v>432918</v>
          </cell>
          <cell r="J143">
            <v>432918</v>
          </cell>
        </row>
        <row r="144">
          <cell r="A144" t="str">
            <v>4-2-01-01-010  DIVIDENDOS ACCIONARIO BTG</v>
          </cell>
          <cell r="B144">
            <v>0</v>
          </cell>
          <cell r="C144">
            <v>15962400</v>
          </cell>
          <cell r="D144">
            <v>0</v>
          </cell>
          <cell r="E144">
            <v>15962400</v>
          </cell>
          <cell r="F144">
            <v>0</v>
          </cell>
          <cell r="G144">
            <v>0</v>
          </cell>
          <cell r="H144">
            <v>0</v>
          </cell>
          <cell r="I144">
            <v>15962400</v>
          </cell>
          <cell r="J144">
            <v>15962400</v>
          </cell>
        </row>
        <row r="145">
          <cell r="A145" t="str">
            <v>4-2-01-01-011  DIVIDENDO ASSET SANTANDER</v>
          </cell>
          <cell r="B145">
            <v>0</v>
          </cell>
          <cell r="C145">
            <v>22433920</v>
          </cell>
          <cell r="D145">
            <v>0</v>
          </cell>
          <cell r="E145">
            <v>22433920</v>
          </cell>
          <cell r="F145">
            <v>0</v>
          </cell>
          <cell r="G145">
            <v>0</v>
          </cell>
          <cell r="H145">
            <v>0</v>
          </cell>
          <cell r="I145">
            <v>22433920</v>
          </cell>
          <cell r="J145">
            <v>22433920</v>
          </cell>
        </row>
        <row r="146">
          <cell r="A146" t="str">
            <v>4-2-01-02-001  INGRESO POR VENTA DE AF</v>
          </cell>
          <cell r="B146">
            <v>0</v>
          </cell>
          <cell r="C146">
            <v>5046075622</v>
          </cell>
          <cell r="D146">
            <v>0</v>
          </cell>
          <cell r="E146">
            <v>5046075622</v>
          </cell>
          <cell r="F146">
            <v>0</v>
          </cell>
          <cell r="G146">
            <v>0</v>
          </cell>
          <cell r="H146">
            <v>0</v>
          </cell>
          <cell r="I146">
            <v>5046075622</v>
          </cell>
          <cell r="J146">
            <v>5046075622</v>
          </cell>
        </row>
        <row r="147">
          <cell r="A147" t="str">
            <v>4-2-01-02-008  ARQUITEC Y HABILITACION  LOCALES</v>
          </cell>
          <cell r="B147">
            <v>0</v>
          </cell>
          <cell r="C147">
            <v>1566130</v>
          </cell>
          <cell r="D147">
            <v>0</v>
          </cell>
          <cell r="E147">
            <v>1566130</v>
          </cell>
          <cell r="F147">
            <v>0</v>
          </cell>
          <cell r="G147">
            <v>0</v>
          </cell>
          <cell r="H147">
            <v>0</v>
          </cell>
          <cell r="I147">
            <v>1566130</v>
          </cell>
          <cell r="J147">
            <v>1566130</v>
          </cell>
        </row>
        <row r="148">
          <cell r="A148" t="str">
            <v>5-1-01-01-001  SERVICIOS DE GUARDIAS</v>
          </cell>
          <cell r="B148">
            <v>62987077</v>
          </cell>
          <cell r="C148">
            <v>0</v>
          </cell>
          <cell r="D148">
            <v>62987077</v>
          </cell>
          <cell r="E148">
            <v>0</v>
          </cell>
          <cell r="F148">
            <v>0</v>
          </cell>
          <cell r="G148">
            <v>0</v>
          </cell>
          <cell r="H148">
            <v>62987077</v>
          </cell>
          <cell r="I148">
            <v>0</v>
          </cell>
          <cell r="J148">
            <v>-62987077</v>
          </cell>
        </row>
        <row r="149">
          <cell r="A149" t="str">
            <v>5-1-01-01-002  MANTENCION EXTINTORES</v>
          </cell>
          <cell r="B149">
            <v>480680</v>
          </cell>
          <cell r="C149">
            <v>0</v>
          </cell>
          <cell r="D149">
            <v>480680</v>
          </cell>
          <cell r="E149">
            <v>0</v>
          </cell>
          <cell r="F149">
            <v>0</v>
          </cell>
          <cell r="G149">
            <v>0</v>
          </cell>
          <cell r="H149">
            <v>480680</v>
          </cell>
          <cell r="I149">
            <v>0</v>
          </cell>
          <cell r="J149">
            <v>-480680</v>
          </cell>
        </row>
        <row r="150">
          <cell r="A150" t="str">
            <v>5-1-01-01-005  ARTICULOS DE SEGURIDAD</v>
          </cell>
          <cell r="B150">
            <v>139279</v>
          </cell>
          <cell r="C150">
            <v>0</v>
          </cell>
          <cell r="D150">
            <v>139279</v>
          </cell>
          <cell r="E150">
            <v>0</v>
          </cell>
          <cell r="F150">
            <v>0</v>
          </cell>
          <cell r="G150">
            <v>0</v>
          </cell>
          <cell r="H150">
            <v>139279</v>
          </cell>
          <cell r="I150">
            <v>0</v>
          </cell>
          <cell r="J150">
            <v>-139279</v>
          </cell>
        </row>
        <row r="151">
          <cell r="A151" t="str">
            <v>5-1-01-02-002  INSUMOS BANOS</v>
          </cell>
          <cell r="B151">
            <v>1049030</v>
          </cell>
          <cell r="C151">
            <v>0</v>
          </cell>
          <cell r="D151">
            <v>1049030</v>
          </cell>
          <cell r="E151">
            <v>0</v>
          </cell>
          <cell r="F151">
            <v>0</v>
          </cell>
          <cell r="G151">
            <v>0</v>
          </cell>
          <cell r="H151">
            <v>1049030</v>
          </cell>
          <cell r="I151">
            <v>0</v>
          </cell>
          <cell r="J151">
            <v>-1049030</v>
          </cell>
        </row>
        <row r="152">
          <cell r="A152" t="str">
            <v>5-1-01-02-003  RETIRO BASURA O ESCOMBROS</v>
          </cell>
          <cell r="B152">
            <v>1640667</v>
          </cell>
          <cell r="C152">
            <v>0</v>
          </cell>
          <cell r="D152">
            <v>1640667</v>
          </cell>
          <cell r="E152">
            <v>0</v>
          </cell>
          <cell r="F152">
            <v>0</v>
          </cell>
          <cell r="G152">
            <v>0</v>
          </cell>
          <cell r="H152">
            <v>1640667</v>
          </cell>
          <cell r="I152">
            <v>0</v>
          </cell>
          <cell r="J152">
            <v>-1640667</v>
          </cell>
        </row>
        <row r="153">
          <cell r="A153" t="str">
            <v>5-1-01-03-001  SERVICIOS DE JARDINES Y PAISAJISMO</v>
          </cell>
          <cell r="B153">
            <v>2046430</v>
          </cell>
          <cell r="C153">
            <v>0</v>
          </cell>
          <cell r="D153">
            <v>2046430</v>
          </cell>
          <cell r="E153">
            <v>0</v>
          </cell>
          <cell r="F153">
            <v>0</v>
          </cell>
          <cell r="G153">
            <v>0</v>
          </cell>
          <cell r="H153">
            <v>2046430</v>
          </cell>
          <cell r="I153">
            <v>0</v>
          </cell>
          <cell r="J153">
            <v>-2046430</v>
          </cell>
        </row>
        <row r="154">
          <cell r="A154" t="str">
            <v>5-1-01-03-003  CONTROL DE PLAGAS</v>
          </cell>
          <cell r="B154">
            <v>4280565</v>
          </cell>
          <cell r="C154">
            <v>0</v>
          </cell>
          <cell r="D154">
            <v>4280565</v>
          </cell>
          <cell r="E154">
            <v>0</v>
          </cell>
          <cell r="F154">
            <v>0</v>
          </cell>
          <cell r="G154">
            <v>0</v>
          </cell>
          <cell r="H154">
            <v>4280565</v>
          </cell>
          <cell r="I154">
            <v>0</v>
          </cell>
          <cell r="J154">
            <v>-4280565</v>
          </cell>
        </row>
        <row r="155">
          <cell r="A155" t="str">
            <v>5-1-01-04-001  MANTENCION TRANSPORTE VERTICAL</v>
          </cell>
          <cell r="B155">
            <v>2758874</v>
          </cell>
          <cell r="C155">
            <v>1417188</v>
          </cell>
          <cell r="D155">
            <v>1341686</v>
          </cell>
          <cell r="E155">
            <v>0</v>
          </cell>
          <cell r="F155">
            <v>0</v>
          </cell>
          <cell r="G155">
            <v>0</v>
          </cell>
          <cell r="H155">
            <v>1341686</v>
          </cell>
          <cell r="I155">
            <v>0</v>
          </cell>
          <cell r="J155">
            <v>-1341686</v>
          </cell>
        </row>
        <row r="156">
          <cell r="A156" t="str">
            <v>5-1-01-04-008  MANTENCION CLIMA</v>
          </cell>
          <cell r="B156">
            <v>2615000</v>
          </cell>
          <cell r="C156">
            <v>0</v>
          </cell>
          <cell r="D156">
            <v>2615000</v>
          </cell>
          <cell r="E156">
            <v>0</v>
          </cell>
          <cell r="F156">
            <v>0</v>
          </cell>
          <cell r="G156">
            <v>0</v>
          </cell>
          <cell r="H156">
            <v>2615000</v>
          </cell>
          <cell r="I156">
            <v>0</v>
          </cell>
          <cell r="J156">
            <v>-2615000</v>
          </cell>
        </row>
        <row r="157">
          <cell r="A157" t="str">
            <v>5-1-01-04-011  MANTENCION GENERAL</v>
          </cell>
          <cell r="B157">
            <v>13717730</v>
          </cell>
          <cell r="C157">
            <v>0</v>
          </cell>
          <cell r="D157">
            <v>13717730</v>
          </cell>
          <cell r="E157">
            <v>0</v>
          </cell>
          <cell r="F157">
            <v>0</v>
          </cell>
          <cell r="G157">
            <v>0</v>
          </cell>
          <cell r="H157">
            <v>13717730</v>
          </cell>
          <cell r="I157">
            <v>0</v>
          </cell>
          <cell r="J157">
            <v>-13717730</v>
          </cell>
        </row>
        <row r="158">
          <cell r="A158" t="str">
            <v>5-1-01-04-014  MANTENCION VEHICULOS</v>
          </cell>
          <cell r="B158">
            <v>440564</v>
          </cell>
          <cell r="C158">
            <v>0</v>
          </cell>
          <cell r="D158">
            <v>440564</v>
          </cell>
          <cell r="E158">
            <v>0</v>
          </cell>
          <cell r="F158">
            <v>0</v>
          </cell>
          <cell r="G158">
            <v>0</v>
          </cell>
          <cell r="H158">
            <v>440564</v>
          </cell>
          <cell r="I158">
            <v>0</v>
          </cell>
          <cell r="J158">
            <v>-440564</v>
          </cell>
        </row>
        <row r="159">
          <cell r="A159" t="str">
            <v>5-1-01-04-017  MANTENCION CLIMA CORRECTIVA</v>
          </cell>
          <cell r="B159">
            <v>220000</v>
          </cell>
          <cell r="C159">
            <v>0</v>
          </cell>
          <cell r="D159">
            <v>220000</v>
          </cell>
          <cell r="E159">
            <v>0</v>
          </cell>
          <cell r="F159">
            <v>0</v>
          </cell>
          <cell r="G159">
            <v>0</v>
          </cell>
          <cell r="H159">
            <v>220000</v>
          </cell>
          <cell r="I159">
            <v>0</v>
          </cell>
          <cell r="J159">
            <v>-220000</v>
          </cell>
        </row>
        <row r="160">
          <cell r="A160" t="str">
            <v>5-1-01-04-018  MANTENCION ELECTRICA CORRECTIVA</v>
          </cell>
          <cell r="B160">
            <v>2100000</v>
          </cell>
          <cell r="C160">
            <v>0</v>
          </cell>
          <cell r="D160">
            <v>2100000</v>
          </cell>
          <cell r="E160">
            <v>0</v>
          </cell>
          <cell r="F160">
            <v>0</v>
          </cell>
          <cell r="G160">
            <v>0</v>
          </cell>
          <cell r="H160">
            <v>2100000</v>
          </cell>
          <cell r="I160">
            <v>0</v>
          </cell>
          <cell r="J160">
            <v>-2100000</v>
          </cell>
        </row>
        <row r="161">
          <cell r="A161" t="str">
            <v>5-1-01-05-005  INSUMOS DE ASEO</v>
          </cell>
          <cell r="B161">
            <v>5454</v>
          </cell>
          <cell r="C161">
            <v>0</v>
          </cell>
          <cell r="D161">
            <v>5454</v>
          </cell>
          <cell r="E161">
            <v>0</v>
          </cell>
          <cell r="F161">
            <v>0</v>
          </cell>
          <cell r="G161">
            <v>0</v>
          </cell>
          <cell r="H161">
            <v>5454</v>
          </cell>
          <cell r="I161">
            <v>0</v>
          </cell>
          <cell r="J161">
            <v>-5454</v>
          </cell>
        </row>
        <row r="162">
          <cell r="A162" t="str">
            <v>5-1-01-05-006  COMPRAS PETROLEO GAS BENCINA</v>
          </cell>
          <cell r="B162">
            <v>2114815</v>
          </cell>
          <cell r="C162">
            <v>0</v>
          </cell>
          <cell r="D162">
            <v>2114815</v>
          </cell>
          <cell r="E162">
            <v>0</v>
          </cell>
          <cell r="F162">
            <v>0</v>
          </cell>
          <cell r="G162">
            <v>0</v>
          </cell>
          <cell r="H162">
            <v>2114815</v>
          </cell>
          <cell r="I162">
            <v>0</v>
          </cell>
          <cell r="J162">
            <v>-2114815</v>
          </cell>
        </row>
        <row r="163">
          <cell r="A163" t="str">
            <v>5-1-01-06-001  CONSUMO AGUA COMUN</v>
          </cell>
          <cell r="B163">
            <v>9770342</v>
          </cell>
          <cell r="C163">
            <v>737229</v>
          </cell>
          <cell r="D163">
            <v>9033113</v>
          </cell>
          <cell r="E163">
            <v>0</v>
          </cell>
          <cell r="F163">
            <v>0</v>
          </cell>
          <cell r="G163">
            <v>0</v>
          </cell>
          <cell r="H163">
            <v>9033113</v>
          </cell>
          <cell r="I163">
            <v>0</v>
          </cell>
          <cell r="J163">
            <v>-9033113</v>
          </cell>
        </row>
        <row r="164">
          <cell r="A164" t="str">
            <v>5-1-01-06-002  CONSUMO ENERGIA COMUN</v>
          </cell>
          <cell r="B164">
            <v>144249621</v>
          </cell>
          <cell r="C164">
            <v>653</v>
          </cell>
          <cell r="D164">
            <v>144248968</v>
          </cell>
          <cell r="E164">
            <v>0</v>
          </cell>
          <cell r="F164">
            <v>0</v>
          </cell>
          <cell r="G164">
            <v>0</v>
          </cell>
          <cell r="H164">
            <v>144248968</v>
          </cell>
          <cell r="I164">
            <v>0</v>
          </cell>
          <cell r="J164">
            <v>-144248968</v>
          </cell>
        </row>
        <row r="165">
          <cell r="A165" t="str">
            <v>5-1-01-06-003  GASTO COMUN PROPIO</v>
          </cell>
          <cell r="B165">
            <v>393142</v>
          </cell>
          <cell r="C165">
            <v>0</v>
          </cell>
          <cell r="D165">
            <v>393142</v>
          </cell>
          <cell r="E165">
            <v>0</v>
          </cell>
          <cell r="F165">
            <v>0</v>
          </cell>
          <cell r="G165">
            <v>0</v>
          </cell>
          <cell r="H165">
            <v>393142</v>
          </cell>
          <cell r="I165">
            <v>0</v>
          </cell>
          <cell r="J165">
            <v>-393142</v>
          </cell>
        </row>
        <row r="166">
          <cell r="A166" t="str">
            <v>5-1-01-06-004  SERVICIOS INFORMATICOS DE SISTEMAS</v>
          </cell>
          <cell r="B166">
            <v>12810373</v>
          </cell>
          <cell r="C166">
            <v>521800</v>
          </cell>
          <cell r="D166">
            <v>12288573</v>
          </cell>
          <cell r="E166">
            <v>0</v>
          </cell>
          <cell r="F166">
            <v>0</v>
          </cell>
          <cell r="G166">
            <v>0</v>
          </cell>
          <cell r="H166">
            <v>12288573</v>
          </cell>
          <cell r="I166">
            <v>0</v>
          </cell>
          <cell r="J166">
            <v>-12288573</v>
          </cell>
        </row>
        <row r="167">
          <cell r="A167" t="str">
            <v>5-1-01-07-001  TELEFONO</v>
          </cell>
          <cell r="B167">
            <v>98972</v>
          </cell>
          <cell r="C167">
            <v>0</v>
          </cell>
          <cell r="D167">
            <v>98972</v>
          </cell>
          <cell r="E167">
            <v>0</v>
          </cell>
          <cell r="F167">
            <v>0</v>
          </cell>
          <cell r="G167">
            <v>0</v>
          </cell>
          <cell r="H167">
            <v>98972</v>
          </cell>
          <cell r="I167">
            <v>0</v>
          </cell>
          <cell r="J167">
            <v>-98972</v>
          </cell>
        </row>
        <row r="168">
          <cell r="A168" t="str">
            <v>5-1-01-07-002  INTERNET</v>
          </cell>
          <cell r="B168">
            <v>1917898</v>
          </cell>
          <cell r="C168">
            <v>0</v>
          </cell>
          <cell r="D168">
            <v>1917898</v>
          </cell>
          <cell r="E168">
            <v>0</v>
          </cell>
          <cell r="F168">
            <v>0</v>
          </cell>
          <cell r="G168">
            <v>0</v>
          </cell>
          <cell r="H168">
            <v>1917898</v>
          </cell>
          <cell r="I168">
            <v>0</v>
          </cell>
          <cell r="J168">
            <v>-1917898</v>
          </cell>
        </row>
        <row r="169">
          <cell r="A169" t="str">
            <v>5-1-01-07-005  ARTICULOS DE OFICINA</v>
          </cell>
          <cell r="B169">
            <v>275750</v>
          </cell>
          <cell r="C169">
            <v>0</v>
          </cell>
          <cell r="D169">
            <v>275750</v>
          </cell>
          <cell r="E169">
            <v>0</v>
          </cell>
          <cell r="F169">
            <v>0</v>
          </cell>
          <cell r="G169">
            <v>0</v>
          </cell>
          <cell r="H169">
            <v>275750</v>
          </cell>
          <cell r="I169">
            <v>0</v>
          </cell>
          <cell r="J169">
            <v>-275750</v>
          </cell>
        </row>
        <row r="170">
          <cell r="A170" t="str">
            <v>5-1-01-07-006  GASTO FLETES</v>
          </cell>
          <cell r="B170">
            <v>11336</v>
          </cell>
          <cell r="C170">
            <v>0</v>
          </cell>
          <cell r="D170">
            <v>11336</v>
          </cell>
          <cell r="E170">
            <v>0</v>
          </cell>
          <cell r="F170">
            <v>0</v>
          </cell>
          <cell r="G170">
            <v>0</v>
          </cell>
          <cell r="H170">
            <v>11336</v>
          </cell>
          <cell r="I170">
            <v>0</v>
          </cell>
          <cell r="J170">
            <v>-11336</v>
          </cell>
        </row>
        <row r="171">
          <cell r="A171" t="str">
            <v>5-1-01-08-001  SEGUROS BIENES FISICOS Y RESPONSABILIDAD CIVIL</v>
          </cell>
          <cell r="B171">
            <v>5943433</v>
          </cell>
          <cell r="C171">
            <v>0</v>
          </cell>
          <cell r="D171">
            <v>5943433</v>
          </cell>
          <cell r="E171">
            <v>0</v>
          </cell>
          <cell r="F171">
            <v>0</v>
          </cell>
          <cell r="G171">
            <v>0</v>
          </cell>
          <cell r="H171">
            <v>5943433</v>
          </cell>
          <cell r="I171">
            <v>0</v>
          </cell>
          <cell r="J171">
            <v>-5943433</v>
          </cell>
        </row>
        <row r="172">
          <cell r="A172" t="str">
            <v>5-1-01-10-003  REMUNERACIONES TENS Y RRHH</v>
          </cell>
          <cell r="B172">
            <v>4601544</v>
          </cell>
          <cell r="C172">
            <v>0</v>
          </cell>
          <cell r="D172">
            <v>4601544</v>
          </cell>
          <cell r="E172">
            <v>0</v>
          </cell>
          <cell r="F172">
            <v>0</v>
          </cell>
          <cell r="G172">
            <v>0</v>
          </cell>
          <cell r="H172">
            <v>4601544</v>
          </cell>
          <cell r="I172">
            <v>0</v>
          </cell>
          <cell r="J172">
            <v>-4601544</v>
          </cell>
        </row>
        <row r="173">
          <cell r="A173" t="str">
            <v>5-1-01-11-001  HABILITACIÓN LOCALES OUTLET FLORIDA</v>
          </cell>
          <cell r="B173">
            <v>16245427</v>
          </cell>
          <cell r="C173">
            <v>0</v>
          </cell>
          <cell r="D173">
            <v>16245427</v>
          </cell>
          <cell r="E173">
            <v>0</v>
          </cell>
          <cell r="F173">
            <v>0</v>
          </cell>
          <cell r="G173">
            <v>0</v>
          </cell>
          <cell r="H173">
            <v>16245427</v>
          </cell>
          <cell r="I173">
            <v>0</v>
          </cell>
          <cell r="J173">
            <v>-16245427</v>
          </cell>
        </row>
        <row r="174">
          <cell r="A174" t="str">
            <v>5-1-01-11-002  HABILITACIÓN LOCALES STRIP FLORIDA</v>
          </cell>
          <cell r="B174">
            <v>5868912</v>
          </cell>
          <cell r="C174">
            <v>0</v>
          </cell>
          <cell r="D174">
            <v>5868912</v>
          </cell>
          <cell r="E174">
            <v>0</v>
          </cell>
          <cell r="F174">
            <v>0</v>
          </cell>
          <cell r="G174">
            <v>0</v>
          </cell>
          <cell r="H174">
            <v>5868912</v>
          </cell>
          <cell r="I174">
            <v>0</v>
          </cell>
          <cell r="J174">
            <v>-5868912</v>
          </cell>
        </row>
        <row r="175">
          <cell r="A175" t="str">
            <v>5-1-03-01-004  PROMOCIONES VARIAS</v>
          </cell>
          <cell r="B175">
            <v>945521</v>
          </cell>
          <cell r="C175">
            <v>0</v>
          </cell>
          <cell r="D175">
            <v>945521</v>
          </cell>
          <cell r="E175">
            <v>0</v>
          </cell>
          <cell r="F175">
            <v>0</v>
          </cell>
          <cell r="G175">
            <v>0</v>
          </cell>
          <cell r="H175">
            <v>945521</v>
          </cell>
          <cell r="I175">
            <v>0</v>
          </cell>
          <cell r="J175">
            <v>-945521</v>
          </cell>
        </row>
        <row r="176">
          <cell r="A176" t="str">
            <v>5-1-03-01-005  GASTOS DERECHO AUTOR</v>
          </cell>
          <cell r="B176">
            <v>559440</v>
          </cell>
          <cell r="C176">
            <v>0</v>
          </cell>
          <cell r="D176">
            <v>559440</v>
          </cell>
          <cell r="E176">
            <v>0</v>
          </cell>
          <cell r="F176">
            <v>0</v>
          </cell>
          <cell r="G176">
            <v>0</v>
          </cell>
          <cell r="H176">
            <v>559440</v>
          </cell>
          <cell r="I176">
            <v>0</v>
          </cell>
          <cell r="J176">
            <v>-559440</v>
          </cell>
        </row>
        <row r="177">
          <cell r="A177" t="str">
            <v>5-2-01-01-001  REMUNERACIONES BRUTAS</v>
          </cell>
          <cell r="B177">
            <v>107207334</v>
          </cell>
          <cell r="C177">
            <v>0</v>
          </cell>
          <cell r="D177">
            <v>107207334</v>
          </cell>
          <cell r="E177">
            <v>0</v>
          </cell>
          <cell r="F177">
            <v>0</v>
          </cell>
          <cell r="G177">
            <v>0</v>
          </cell>
          <cell r="H177">
            <v>107207334</v>
          </cell>
          <cell r="I177">
            <v>0</v>
          </cell>
          <cell r="J177">
            <v>-107207334</v>
          </cell>
        </row>
        <row r="178">
          <cell r="A178" t="str">
            <v>5-2-01-01-002  APORTES PATRONALES</v>
          </cell>
          <cell r="B178">
            <v>1937853</v>
          </cell>
          <cell r="C178">
            <v>0</v>
          </cell>
          <cell r="D178">
            <v>1937853</v>
          </cell>
          <cell r="E178">
            <v>0</v>
          </cell>
          <cell r="F178">
            <v>0</v>
          </cell>
          <cell r="G178">
            <v>0</v>
          </cell>
          <cell r="H178">
            <v>1937853</v>
          </cell>
          <cell r="I178">
            <v>0</v>
          </cell>
          <cell r="J178">
            <v>-1937853</v>
          </cell>
        </row>
        <row r="179">
          <cell r="A179" t="str">
            <v>5-2-01-01-004  GRATIFICACIONES</v>
          </cell>
          <cell r="B179">
            <v>4116527</v>
          </cell>
          <cell r="C179">
            <v>0</v>
          </cell>
          <cell r="D179">
            <v>4116527</v>
          </cell>
          <cell r="E179">
            <v>0</v>
          </cell>
          <cell r="F179">
            <v>0</v>
          </cell>
          <cell r="G179">
            <v>0</v>
          </cell>
          <cell r="H179">
            <v>4116527</v>
          </cell>
          <cell r="I179">
            <v>0</v>
          </cell>
          <cell r="J179">
            <v>-4116527</v>
          </cell>
        </row>
        <row r="180">
          <cell r="A180" t="str">
            <v>5-2-01-01-006  OTROS NO IMPONIBLES</v>
          </cell>
          <cell r="B180">
            <v>3359318</v>
          </cell>
          <cell r="C180">
            <v>0</v>
          </cell>
          <cell r="D180">
            <v>3359318</v>
          </cell>
          <cell r="E180">
            <v>0</v>
          </cell>
          <cell r="F180">
            <v>0</v>
          </cell>
          <cell r="G180">
            <v>0</v>
          </cell>
          <cell r="H180">
            <v>3359318</v>
          </cell>
          <cell r="I180">
            <v>0</v>
          </cell>
          <cell r="J180">
            <v>-3359318</v>
          </cell>
        </row>
        <row r="181">
          <cell r="A181" t="str">
            <v>5-2-01-01-008  SEGURO COMPLEMENTARIO SALUD</v>
          </cell>
          <cell r="B181">
            <v>1297855</v>
          </cell>
          <cell r="C181">
            <v>293067</v>
          </cell>
          <cell r="D181">
            <v>1004788</v>
          </cell>
          <cell r="E181">
            <v>0</v>
          </cell>
          <cell r="F181">
            <v>0</v>
          </cell>
          <cell r="G181">
            <v>0</v>
          </cell>
          <cell r="H181">
            <v>1004788</v>
          </cell>
          <cell r="I181">
            <v>0</v>
          </cell>
          <cell r="J181">
            <v>-1004788</v>
          </cell>
        </row>
        <row r="182">
          <cell r="A182" t="str">
            <v>5-2-01-02-001  HONORARIOS CONTABLES</v>
          </cell>
          <cell r="B182">
            <v>1169591</v>
          </cell>
          <cell r="C182">
            <v>0</v>
          </cell>
          <cell r="D182">
            <v>1169591</v>
          </cell>
          <cell r="E182">
            <v>0</v>
          </cell>
          <cell r="F182">
            <v>0</v>
          </cell>
          <cell r="G182">
            <v>0</v>
          </cell>
          <cell r="H182">
            <v>1169591</v>
          </cell>
          <cell r="I182">
            <v>0</v>
          </cell>
          <cell r="J182">
            <v>-1169591</v>
          </cell>
        </row>
        <row r="183">
          <cell r="A183" t="str">
            <v>5-2-01-02-002  HONORARIOS SERVICIOS LEGALES</v>
          </cell>
          <cell r="B183">
            <v>5273762</v>
          </cell>
          <cell r="C183">
            <v>0</v>
          </cell>
          <cell r="D183">
            <v>5273762</v>
          </cell>
          <cell r="E183">
            <v>0</v>
          </cell>
          <cell r="F183">
            <v>0</v>
          </cell>
          <cell r="G183">
            <v>0</v>
          </cell>
          <cell r="H183">
            <v>5273762</v>
          </cell>
          <cell r="I183">
            <v>0</v>
          </cell>
          <cell r="J183">
            <v>-5273762</v>
          </cell>
        </row>
        <row r="184">
          <cell r="A184" t="str">
            <v>5-2-01-02-003  ASESORIAS Y CONSULTORIAS</v>
          </cell>
          <cell r="B184">
            <v>38837065</v>
          </cell>
          <cell r="C184">
            <v>0</v>
          </cell>
          <cell r="D184">
            <v>38837065</v>
          </cell>
          <cell r="E184">
            <v>0</v>
          </cell>
          <cell r="F184">
            <v>0</v>
          </cell>
          <cell r="G184">
            <v>0</v>
          </cell>
          <cell r="H184">
            <v>38837065</v>
          </cell>
          <cell r="I184">
            <v>0</v>
          </cell>
          <cell r="J184">
            <v>-38837065</v>
          </cell>
        </row>
        <row r="185">
          <cell r="A185" t="str">
            <v>5-2-01-02-004  SERVICIOS DE ASEO</v>
          </cell>
          <cell r="B185">
            <v>21063334</v>
          </cell>
          <cell r="C185">
            <v>83023</v>
          </cell>
          <cell r="D185">
            <v>20980311</v>
          </cell>
          <cell r="E185">
            <v>0</v>
          </cell>
          <cell r="F185">
            <v>0</v>
          </cell>
          <cell r="G185">
            <v>0</v>
          </cell>
          <cell r="H185">
            <v>20980311</v>
          </cell>
          <cell r="I185">
            <v>0</v>
          </cell>
          <cell r="J185">
            <v>-20980311</v>
          </cell>
        </row>
        <row r="186">
          <cell r="A186" t="str">
            <v>5-2-01-02-007  SERVICIOS DE PUBLICIDAD Y MARKETING</v>
          </cell>
          <cell r="B186">
            <v>16436095</v>
          </cell>
          <cell r="C186">
            <v>0</v>
          </cell>
          <cell r="D186">
            <v>16436095</v>
          </cell>
          <cell r="E186">
            <v>0</v>
          </cell>
          <cell r="F186">
            <v>0</v>
          </cell>
          <cell r="G186">
            <v>0</v>
          </cell>
          <cell r="H186">
            <v>16436095</v>
          </cell>
          <cell r="I186">
            <v>0</v>
          </cell>
          <cell r="J186">
            <v>-16436095</v>
          </cell>
        </row>
        <row r="187">
          <cell r="A187" t="str">
            <v>5-2-01-02-009  COSTO VENTA ACTIVO FIJO</v>
          </cell>
          <cell r="B187">
            <v>7289444463</v>
          </cell>
          <cell r="C187">
            <v>0</v>
          </cell>
          <cell r="D187">
            <v>7289444463</v>
          </cell>
          <cell r="E187">
            <v>0</v>
          </cell>
          <cell r="F187">
            <v>0</v>
          </cell>
          <cell r="G187">
            <v>0</v>
          </cell>
          <cell r="H187">
            <v>7289444463</v>
          </cell>
          <cell r="I187">
            <v>0</v>
          </cell>
          <cell r="J187">
            <v>-7289444463</v>
          </cell>
        </row>
        <row r="188">
          <cell r="A188" t="str">
            <v>5-2-01-02-010  HONORARIOS DE COMERCIALIZACION</v>
          </cell>
          <cell r="B188">
            <v>1075591</v>
          </cell>
          <cell r="C188">
            <v>0</v>
          </cell>
          <cell r="D188">
            <v>1075591</v>
          </cell>
          <cell r="E188">
            <v>0</v>
          </cell>
          <cell r="F188">
            <v>0</v>
          </cell>
          <cell r="G188">
            <v>0</v>
          </cell>
          <cell r="H188">
            <v>1075591</v>
          </cell>
          <cell r="I188">
            <v>0</v>
          </cell>
          <cell r="J188">
            <v>-1075591</v>
          </cell>
        </row>
        <row r="189">
          <cell r="A189" t="str">
            <v>5-2-01-02-011  PAGOS LEGALES Y DEMANDAS</v>
          </cell>
          <cell r="B189">
            <v>869990</v>
          </cell>
          <cell r="C189">
            <v>0</v>
          </cell>
          <cell r="D189">
            <v>869990</v>
          </cell>
          <cell r="E189">
            <v>0</v>
          </cell>
          <cell r="F189">
            <v>0</v>
          </cell>
          <cell r="G189">
            <v>0</v>
          </cell>
          <cell r="H189">
            <v>869990</v>
          </cell>
          <cell r="I189">
            <v>0</v>
          </cell>
          <cell r="J189">
            <v>-869990</v>
          </cell>
        </row>
        <row r="190">
          <cell r="A190" t="str">
            <v>5-2-01-03-002  GASTOS NOTARIALES</v>
          </cell>
          <cell r="B190">
            <v>56000</v>
          </cell>
          <cell r="C190">
            <v>749000</v>
          </cell>
          <cell r="D190">
            <v>0</v>
          </cell>
          <cell r="E190">
            <v>693000</v>
          </cell>
          <cell r="F190">
            <v>0</v>
          </cell>
          <cell r="G190">
            <v>0</v>
          </cell>
          <cell r="H190">
            <v>0</v>
          </cell>
          <cell r="I190">
            <v>693000</v>
          </cell>
          <cell r="J190">
            <v>693000</v>
          </cell>
        </row>
        <row r="191">
          <cell r="A191" t="str">
            <v>5-2-01-03-004  GASTO IVA PROPORCIONAL</v>
          </cell>
          <cell r="B191">
            <v>10996538</v>
          </cell>
          <cell r="C191">
            <v>0</v>
          </cell>
          <cell r="D191">
            <v>10996538</v>
          </cell>
          <cell r="E191">
            <v>0</v>
          </cell>
          <cell r="F191">
            <v>0</v>
          </cell>
          <cell r="G191">
            <v>0</v>
          </cell>
          <cell r="H191">
            <v>10996538</v>
          </cell>
          <cell r="I191">
            <v>0</v>
          </cell>
          <cell r="J191">
            <v>-10996538</v>
          </cell>
        </row>
        <row r="192">
          <cell r="A192" t="str">
            <v>5-2-01-03-006  GASTOS GENERALES</v>
          </cell>
          <cell r="B192">
            <v>3468292</v>
          </cell>
          <cell r="C192">
            <v>356479</v>
          </cell>
          <cell r="D192">
            <v>3111813</v>
          </cell>
          <cell r="E192">
            <v>0</v>
          </cell>
          <cell r="F192">
            <v>0</v>
          </cell>
          <cell r="G192">
            <v>0</v>
          </cell>
          <cell r="H192">
            <v>3111813</v>
          </cell>
          <cell r="I192">
            <v>0</v>
          </cell>
          <cell r="J192">
            <v>-3111813</v>
          </cell>
        </row>
        <row r="193">
          <cell r="A193" t="str">
            <v>5-2-01-05-001  GASTOS DE REPRESENTACION</v>
          </cell>
          <cell r="B193">
            <v>1795577</v>
          </cell>
          <cell r="C193">
            <v>0</v>
          </cell>
          <cell r="D193">
            <v>1795577</v>
          </cell>
          <cell r="E193">
            <v>0</v>
          </cell>
          <cell r="F193">
            <v>0</v>
          </cell>
          <cell r="G193">
            <v>0</v>
          </cell>
          <cell r="H193">
            <v>1795577</v>
          </cell>
          <cell r="I193">
            <v>0</v>
          </cell>
          <cell r="J193">
            <v>-1795577</v>
          </cell>
        </row>
        <row r="194">
          <cell r="A194" t="str">
            <v>5-2-01-06-001  ARRIENDOS</v>
          </cell>
          <cell r="B194">
            <v>4934117</v>
          </cell>
          <cell r="C194">
            <v>0</v>
          </cell>
          <cell r="D194">
            <v>4934117</v>
          </cell>
          <cell r="E194">
            <v>0</v>
          </cell>
          <cell r="F194">
            <v>0</v>
          </cell>
          <cell r="G194">
            <v>0</v>
          </cell>
          <cell r="H194">
            <v>4934117</v>
          </cell>
          <cell r="I194">
            <v>0</v>
          </cell>
          <cell r="J194">
            <v>-4934117</v>
          </cell>
        </row>
        <row r="195">
          <cell r="A195" t="str">
            <v>5-2-01-07-001  CONTRIBUCIONES</v>
          </cell>
          <cell r="B195">
            <v>374024446</v>
          </cell>
          <cell r="C195">
            <v>14331779</v>
          </cell>
          <cell r="D195">
            <v>359692667</v>
          </cell>
          <cell r="E195">
            <v>0</v>
          </cell>
          <cell r="F195">
            <v>0</v>
          </cell>
          <cell r="G195">
            <v>0</v>
          </cell>
          <cell r="H195">
            <v>359692667</v>
          </cell>
          <cell r="I195">
            <v>0</v>
          </cell>
          <cell r="J195">
            <v>-359692667</v>
          </cell>
        </row>
        <row r="196">
          <cell r="A196" t="str">
            <v>5-3-01-01-001  INTERESES LEASING</v>
          </cell>
          <cell r="B196">
            <v>71396066</v>
          </cell>
          <cell r="C196">
            <v>0</v>
          </cell>
          <cell r="D196">
            <v>71396066</v>
          </cell>
          <cell r="E196">
            <v>0</v>
          </cell>
          <cell r="F196">
            <v>0</v>
          </cell>
          <cell r="G196">
            <v>0</v>
          </cell>
          <cell r="H196">
            <v>71396066</v>
          </cell>
          <cell r="I196">
            <v>0</v>
          </cell>
          <cell r="J196">
            <v>-71396066</v>
          </cell>
        </row>
        <row r="197">
          <cell r="A197" t="str">
            <v>5-3-01-01-002  GASTOS BANCARIOS</v>
          </cell>
          <cell r="B197">
            <v>2433549</v>
          </cell>
          <cell r="C197">
            <v>0</v>
          </cell>
          <cell r="D197">
            <v>2433549</v>
          </cell>
          <cell r="E197">
            <v>0</v>
          </cell>
          <cell r="F197">
            <v>0</v>
          </cell>
          <cell r="G197">
            <v>0</v>
          </cell>
          <cell r="H197">
            <v>2433549</v>
          </cell>
          <cell r="I197">
            <v>0</v>
          </cell>
          <cell r="J197">
            <v>-2433549</v>
          </cell>
        </row>
        <row r="198">
          <cell r="A198" t="str">
            <v>5-3-01-01-003  MULTAS INTERESES Y REAJUSTES</v>
          </cell>
          <cell r="B198">
            <v>1130899</v>
          </cell>
          <cell r="C198">
            <v>0</v>
          </cell>
          <cell r="D198">
            <v>1130899</v>
          </cell>
          <cell r="E198">
            <v>0</v>
          </cell>
          <cell r="F198">
            <v>0</v>
          </cell>
          <cell r="G198">
            <v>0</v>
          </cell>
          <cell r="H198">
            <v>1130899</v>
          </cell>
          <cell r="I198">
            <v>0</v>
          </cell>
          <cell r="J198">
            <v>-1130899</v>
          </cell>
        </row>
        <row r="199">
          <cell r="A199" t="str">
            <v>5-3-01-01-005  GASTOS E INTERESES COMERCIALES</v>
          </cell>
          <cell r="B199">
            <v>67594834</v>
          </cell>
          <cell r="C199">
            <v>0</v>
          </cell>
          <cell r="D199">
            <v>67594834</v>
          </cell>
          <cell r="E199">
            <v>0</v>
          </cell>
          <cell r="F199">
            <v>0</v>
          </cell>
          <cell r="G199">
            <v>0</v>
          </cell>
          <cell r="H199">
            <v>67594834</v>
          </cell>
          <cell r="I199">
            <v>0</v>
          </cell>
          <cell r="J199">
            <v>-67594834</v>
          </cell>
        </row>
        <row r="200">
          <cell r="A200" t="str">
            <v>5-3-01-02-006  GANANCIA (PERDIDA) SWAP</v>
          </cell>
          <cell r="B200">
            <v>99307655</v>
          </cell>
          <cell r="C200">
            <v>0</v>
          </cell>
          <cell r="D200">
            <v>99307655</v>
          </cell>
          <cell r="E200">
            <v>0</v>
          </cell>
          <cell r="F200">
            <v>0</v>
          </cell>
          <cell r="G200">
            <v>0</v>
          </cell>
          <cell r="H200">
            <v>99307655</v>
          </cell>
          <cell r="I200">
            <v>0</v>
          </cell>
          <cell r="J200">
            <v>-99307655</v>
          </cell>
        </row>
        <row r="201">
          <cell r="A201" t="str">
            <v>5-3-01-02-007  MAYOR / MENOR VALOR DE INVERSIONES</v>
          </cell>
          <cell r="B201">
            <v>17646196</v>
          </cell>
          <cell r="C201">
            <v>90253535</v>
          </cell>
          <cell r="D201">
            <v>0</v>
          </cell>
          <cell r="E201">
            <v>72607339</v>
          </cell>
          <cell r="F201">
            <v>0</v>
          </cell>
          <cell r="G201">
            <v>0</v>
          </cell>
          <cell r="H201">
            <v>0</v>
          </cell>
          <cell r="I201">
            <v>72607339</v>
          </cell>
          <cell r="J201">
            <v>72607339</v>
          </cell>
        </row>
        <row r="202">
          <cell r="A202" t="str">
            <v>5-3-01-02-020  COSTO MANDATO INVERSIONES NUEVA SANTA FIDELMIRA LIMITADA</v>
          </cell>
          <cell r="B202">
            <v>149825310</v>
          </cell>
          <cell r="C202">
            <v>0</v>
          </cell>
          <cell r="D202">
            <v>149825310</v>
          </cell>
          <cell r="E202">
            <v>0</v>
          </cell>
          <cell r="F202">
            <v>0</v>
          </cell>
          <cell r="G202">
            <v>0</v>
          </cell>
          <cell r="H202">
            <v>149825310</v>
          </cell>
          <cell r="I202">
            <v>0</v>
          </cell>
          <cell r="J202">
            <v>-149825310</v>
          </cell>
        </row>
        <row r="203">
          <cell r="A203" t="str">
            <v>5-3-01-03-004  CORRECCION REMANENTE CREDITO FISCAL</v>
          </cell>
          <cell r="B203">
            <v>0</v>
          </cell>
          <cell r="C203">
            <v>1544674</v>
          </cell>
          <cell r="D203">
            <v>0</v>
          </cell>
          <cell r="E203">
            <v>1544674</v>
          </cell>
          <cell r="F203">
            <v>0</v>
          </cell>
          <cell r="G203">
            <v>0</v>
          </cell>
          <cell r="H203">
            <v>0</v>
          </cell>
          <cell r="I203">
            <v>1544674</v>
          </cell>
          <cell r="J203">
            <v>1544674</v>
          </cell>
        </row>
        <row r="204">
          <cell r="A204" t="str">
            <v>5-3-01-03-006  CORRECCION EN UF</v>
          </cell>
          <cell r="B204">
            <v>823022770</v>
          </cell>
          <cell r="C204">
            <v>108706261</v>
          </cell>
          <cell r="D204">
            <v>714316509</v>
          </cell>
          <cell r="E204">
            <v>0</v>
          </cell>
          <cell r="F204">
            <v>0</v>
          </cell>
          <cell r="G204">
            <v>0</v>
          </cell>
          <cell r="H204">
            <v>714316509</v>
          </cell>
          <cell r="I204">
            <v>0</v>
          </cell>
          <cell r="J204">
            <v>-714316509</v>
          </cell>
        </row>
        <row r="205">
          <cell r="A205" t="str">
            <v>5-3-01-03-011  VARIACION USD</v>
          </cell>
          <cell r="B205">
            <v>123115928</v>
          </cell>
          <cell r="C205">
            <v>132655076</v>
          </cell>
          <cell r="D205">
            <v>0</v>
          </cell>
          <cell r="E205">
            <v>9539148</v>
          </cell>
          <cell r="F205">
            <v>0</v>
          </cell>
          <cell r="G205">
            <v>0</v>
          </cell>
          <cell r="H205">
            <v>0</v>
          </cell>
          <cell r="I205">
            <v>9539148</v>
          </cell>
          <cell r="J205">
            <v>9539148</v>
          </cell>
        </row>
        <row r="206">
          <cell r="A206" t="str">
            <v>Sub-Totales</v>
          </cell>
          <cell r="B206">
            <v>36217143855</v>
          </cell>
          <cell r="C206">
            <v>36217143855</v>
          </cell>
          <cell r="D206">
            <v>18006638873</v>
          </cell>
          <cell r="E206">
            <v>18006638873</v>
          </cell>
          <cell r="F206">
            <v>8730779645</v>
          </cell>
          <cell r="G206">
            <v>11425128892</v>
          </cell>
          <cell r="H206">
            <v>9275859228</v>
          </cell>
          <cell r="I206">
            <v>6581509981</v>
          </cell>
          <cell r="J206">
            <v>0</v>
          </cell>
        </row>
        <row r="207">
          <cell r="A207" t="str">
            <v>Pérdidas / Ganancias</v>
          </cell>
          <cell r="B207"/>
          <cell r="C207"/>
          <cell r="D207"/>
          <cell r="E207"/>
          <cell r="F207">
            <v>2694349247</v>
          </cell>
          <cell r="G207"/>
          <cell r="H207"/>
          <cell r="I207">
            <v>2694349247</v>
          </cell>
          <cell r="J207">
            <v>0</v>
          </cell>
        </row>
        <row r="208">
          <cell r="A208" t="str">
            <v>Total General</v>
          </cell>
          <cell r="B208">
            <v>36217143855</v>
          </cell>
          <cell r="C208">
            <v>36217143855</v>
          </cell>
          <cell r="D208">
            <v>18006638873</v>
          </cell>
          <cell r="E208">
            <v>18006638873</v>
          </cell>
          <cell r="F208">
            <v>11425128892</v>
          </cell>
          <cell r="G208">
            <v>11425128892</v>
          </cell>
          <cell r="H208">
            <v>9275859228</v>
          </cell>
          <cell r="I208">
            <v>9275859228</v>
          </cell>
        </row>
      </sheetData>
      <sheetData sheetId="4"/>
      <sheetData sheetId="5">
        <row r="1">
          <cell r="A1" t="str">
            <v>INVERSIONES SANTA FIDELMIRA LIMITADA</v>
          </cell>
          <cell r="B1"/>
          <cell r="C1"/>
          <cell r="D1"/>
          <cell r="E1"/>
          <cell r="F1"/>
          <cell r="G1"/>
          <cell r="H1"/>
          <cell r="I1"/>
        </row>
        <row r="2">
          <cell r="A2" t="str">
            <v>ARRIENDO, EXPLOTACION  BIENES INMUEBLES</v>
          </cell>
          <cell r="B2"/>
          <cell r="C2"/>
          <cell r="D2"/>
          <cell r="E2"/>
          <cell r="F2"/>
          <cell r="G2"/>
          <cell r="H2"/>
          <cell r="I2"/>
        </row>
        <row r="3">
          <cell r="A3" t="str">
            <v>MAIPU #599</v>
          </cell>
          <cell r="B3"/>
          <cell r="C3"/>
          <cell r="D3"/>
          <cell r="E3"/>
          <cell r="F3"/>
          <cell r="G3"/>
          <cell r="H3"/>
          <cell r="I3"/>
        </row>
        <row r="4">
          <cell r="A4" t="str">
            <v>LINARES</v>
          </cell>
          <cell r="B4"/>
          <cell r="C4"/>
          <cell r="D4"/>
          <cell r="E4"/>
          <cell r="F4"/>
          <cell r="G4"/>
          <cell r="H4"/>
          <cell r="I4"/>
        </row>
        <row r="5">
          <cell r="A5" t="str">
            <v>LINARES</v>
          </cell>
          <cell r="B5"/>
          <cell r="C5"/>
          <cell r="D5"/>
          <cell r="E5"/>
          <cell r="F5"/>
          <cell r="G5"/>
          <cell r="H5"/>
          <cell r="I5"/>
        </row>
        <row r="6">
          <cell r="A6" t="str">
            <v>79.991.280-5</v>
          </cell>
          <cell r="B6"/>
          <cell r="C6"/>
          <cell r="D6"/>
          <cell r="E6"/>
          <cell r="F6"/>
          <cell r="G6"/>
          <cell r="H6" t="str">
            <v>Fecha :</v>
          </cell>
          <cell r="I6" t="str">
            <v>19/02/2026</v>
          </cell>
        </row>
        <row r="8">
          <cell r="A8" t="str">
            <v>Balance Tributario</v>
          </cell>
          <cell r="B8"/>
          <cell r="C8"/>
          <cell r="D8"/>
          <cell r="E8"/>
          <cell r="F8"/>
          <cell r="G8"/>
          <cell r="H8"/>
          <cell r="I8"/>
        </row>
        <row r="9">
          <cell r="A9" t="str">
            <v xml:space="preserve"> Desde :Diciembre/2025</v>
          </cell>
          <cell r="B9"/>
          <cell r="C9"/>
          <cell r="D9"/>
          <cell r="E9"/>
          <cell r="F9"/>
          <cell r="G9"/>
          <cell r="H9"/>
          <cell r="I9"/>
        </row>
        <row r="10">
          <cell r="A10" t="str">
            <v xml:space="preserve"> Hasta :Diciembre/2025</v>
          </cell>
          <cell r="B10"/>
          <cell r="C10"/>
          <cell r="D10"/>
          <cell r="E10"/>
          <cell r="F10"/>
          <cell r="G10"/>
          <cell r="H10"/>
          <cell r="I10"/>
        </row>
        <row r="12">
          <cell r="A12" t="str">
            <v>Cuenta Contable</v>
          </cell>
          <cell r="B12" t="str">
            <v>Valores Acumulados</v>
          </cell>
          <cell r="C12"/>
          <cell r="D12" t="str">
            <v>Saldos</v>
          </cell>
          <cell r="E12"/>
          <cell r="F12" t="str">
            <v>Inventario</v>
          </cell>
          <cell r="G12"/>
          <cell r="H12" t="str">
            <v>Resultados</v>
          </cell>
          <cell r="I12"/>
        </row>
        <row r="13">
          <cell r="A13"/>
          <cell r="B13" t="str">
            <v>Débitos</v>
          </cell>
          <cell r="C13" t="str">
            <v>Créditos</v>
          </cell>
          <cell r="D13" t="str">
            <v>Deudor</v>
          </cell>
          <cell r="E13" t="str">
            <v>Acreedor</v>
          </cell>
          <cell r="F13" t="str">
            <v>Activo</v>
          </cell>
          <cell r="G13" t="str">
            <v>Pasivo</v>
          </cell>
          <cell r="H13" t="str">
            <v>Pérdida</v>
          </cell>
          <cell r="I13" t="str">
            <v>Ganancia</v>
          </cell>
        </row>
        <row r="14">
          <cell r="A14" t="str">
            <v>1-1-10-01-004  CAJA CHICA OUTLET TALCA</v>
          </cell>
          <cell r="B14">
            <v>3000000</v>
          </cell>
          <cell r="C14">
            <v>2883099</v>
          </cell>
          <cell r="D14">
            <v>116901</v>
          </cell>
          <cell r="E14">
            <v>0</v>
          </cell>
          <cell r="F14">
            <v>116901</v>
          </cell>
          <cell r="G14">
            <v>0</v>
          </cell>
          <cell r="H14">
            <v>0</v>
          </cell>
          <cell r="I14">
            <v>0</v>
          </cell>
          <cell r="J14">
            <v>116901</v>
          </cell>
        </row>
        <row r="15">
          <cell r="A15" t="str">
            <v>1-1-10-01-005  CAJA CHICA LINARES</v>
          </cell>
          <cell r="B15">
            <v>732010</v>
          </cell>
          <cell r="C15">
            <v>732006</v>
          </cell>
          <cell r="D15">
            <v>4</v>
          </cell>
          <cell r="E15">
            <v>0</v>
          </cell>
          <cell r="F15">
            <v>4</v>
          </cell>
          <cell r="G15">
            <v>0</v>
          </cell>
          <cell r="H15">
            <v>0</v>
          </cell>
          <cell r="I15">
            <v>0</v>
          </cell>
          <cell r="J15">
            <v>4</v>
          </cell>
        </row>
        <row r="16">
          <cell r="A16" t="str">
            <v>1-1-10-01-007  CAJA CHICA SANTIAGO</v>
          </cell>
          <cell r="B16">
            <v>304005</v>
          </cell>
          <cell r="C16">
            <v>312806</v>
          </cell>
          <cell r="D16">
            <v>0</v>
          </cell>
          <cell r="E16">
            <v>8801</v>
          </cell>
          <cell r="F16">
            <v>0</v>
          </cell>
          <cell r="G16">
            <v>8801</v>
          </cell>
          <cell r="H16">
            <v>0</v>
          </cell>
          <cell r="I16">
            <v>0</v>
          </cell>
          <cell r="J16">
            <v>-8801</v>
          </cell>
        </row>
        <row r="17">
          <cell r="A17" t="str">
            <v>1-1-10-01-008  CAJA CHICA OFICINAS SANTIAGO</v>
          </cell>
          <cell r="B17">
            <v>5600000</v>
          </cell>
          <cell r="C17">
            <v>4588269</v>
          </cell>
          <cell r="D17">
            <v>1011731</v>
          </cell>
          <cell r="E17">
            <v>0</v>
          </cell>
          <cell r="F17">
            <v>1011731</v>
          </cell>
          <cell r="G17">
            <v>0</v>
          </cell>
          <cell r="H17">
            <v>0</v>
          </cell>
          <cell r="I17">
            <v>0</v>
          </cell>
          <cell r="J17">
            <v>1011731</v>
          </cell>
        </row>
        <row r="18">
          <cell r="A18" t="str">
            <v>1-1-10-01-009  CAJA CHICA OFICINA GERENCIAL</v>
          </cell>
          <cell r="B18">
            <v>1644850</v>
          </cell>
          <cell r="C18">
            <v>2319665</v>
          </cell>
          <cell r="D18">
            <v>0</v>
          </cell>
          <cell r="E18">
            <v>674815</v>
          </cell>
          <cell r="F18">
            <v>0</v>
          </cell>
          <cell r="G18">
            <v>674815</v>
          </cell>
          <cell r="H18">
            <v>0</v>
          </cell>
          <cell r="I18">
            <v>0</v>
          </cell>
          <cell r="J18">
            <v>-674815</v>
          </cell>
        </row>
        <row r="19">
          <cell r="A19" t="str">
            <v>1-1-10-02-002  BANCO SANTANDER 25996240</v>
          </cell>
          <cell r="B19">
            <v>1976638643</v>
          </cell>
          <cell r="C19">
            <v>1973537778</v>
          </cell>
          <cell r="D19">
            <v>3100865</v>
          </cell>
          <cell r="E19">
            <v>0</v>
          </cell>
          <cell r="F19">
            <v>3100865</v>
          </cell>
          <cell r="G19">
            <v>0</v>
          </cell>
          <cell r="H19">
            <v>0</v>
          </cell>
          <cell r="I19">
            <v>0</v>
          </cell>
          <cell r="J19">
            <v>3100865</v>
          </cell>
        </row>
        <row r="20">
          <cell r="A20" t="str">
            <v>1-1-10-02-004  BANCO CREDITO E INVERSIONES</v>
          </cell>
          <cell r="B20">
            <v>200174662</v>
          </cell>
          <cell r="C20">
            <v>200174662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1-1-10-02-005  BANCO ITAU</v>
          </cell>
          <cell r="B21">
            <v>345257040</v>
          </cell>
          <cell r="C21">
            <v>346650566</v>
          </cell>
          <cell r="D21">
            <v>0</v>
          </cell>
          <cell r="E21">
            <v>1393526</v>
          </cell>
          <cell r="F21">
            <v>0</v>
          </cell>
          <cell r="G21">
            <v>1393526</v>
          </cell>
          <cell r="H21">
            <v>0</v>
          </cell>
          <cell r="I21">
            <v>0</v>
          </cell>
          <cell r="J21">
            <v>-1393526</v>
          </cell>
        </row>
        <row r="22">
          <cell r="A22" t="str">
            <v>1-1-10-02-006  BANCO INTERNACIONAL</v>
          </cell>
          <cell r="B22">
            <v>44908997</v>
          </cell>
          <cell r="C22">
            <v>749908997</v>
          </cell>
          <cell r="D22">
            <v>0</v>
          </cell>
          <cell r="E22">
            <v>705000000</v>
          </cell>
          <cell r="F22">
            <v>0</v>
          </cell>
          <cell r="G22">
            <v>705000000</v>
          </cell>
          <cell r="H22">
            <v>0</v>
          </cell>
          <cell r="I22">
            <v>0</v>
          </cell>
          <cell r="J22">
            <v>-705000000</v>
          </cell>
        </row>
        <row r="23">
          <cell r="A23" t="str">
            <v>1-1-10-02-007  BANCO BCI CHILE DOLARES</v>
          </cell>
          <cell r="B23">
            <v>17910218</v>
          </cell>
          <cell r="C23">
            <v>92696044</v>
          </cell>
          <cell r="D23">
            <v>0</v>
          </cell>
          <cell r="E23">
            <v>74785826</v>
          </cell>
          <cell r="F23">
            <v>0</v>
          </cell>
          <cell r="G23">
            <v>74785826</v>
          </cell>
          <cell r="H23">
            <v>0</v>
          </cell>
          <cell r="I23">
            <v>0</v>
          </cell>
          <cell r="J23">
            <v>-74785826</v>
          </cell>
        </row>
        <row r="24">
          <cell r="A24" t="str">
            <v>1-1-10-02-010  BANCO DE CHILE 2162683210</v>
          </cell>
          <cell r="B24">
            <v>605020</v>
          </cell>
          <cell r="C24">
            <v>210040</v>
          </cell>
          <cell r="D24">
            <v>394980</v>
          </cell>
          <cell r="E24">
            <v>0</v>
          </cell>
          <cell r="F24">
            <v>394980</v>
          </cell>
          <cell r="G24">
            <v>0</v>
          </cell>
          <cell r="H24">
            <v>0</v>
          </cell>
          <cell r="I24">
            <v>0</v>
          </cell>
          <cell r="J24">
            <v>394980</v>
          </cell>
        </row>
        <row r="25">
          <cell r="A25" t="str">
            <v>1-1-20-01-003  ACCIONES CFINRENTAS BANCO SANTANDER</v>
          </cell>
          <cell r="B25">
            <v>76720501</v>
          </cell>
          <cell r="C25">
            <v>0</v>
          </cell>
          <cell r="D25">
            <v>76720501</v>
          </cell>
          <cell r="E25">
            <v>0</v>
          </cell>
          <cell r="F25">
            <v>76720501</v>
          </cell>
          <cell r="G25">
            <v>0</v>
          </cell>
          <cell r="H25">
            <v>0</v>
          </cell>
          <cell r="I25">
            <v>0</v>
          </cell>
          <cell r="J25">
            <v>76720501</v>
          </cell>
        </row>
        <row r="26">
          <cell r="A26" t="str">
            <v>1-1-20-01-006  FONDOS MUTUOS BCI PESOS</v>
          </cell>
          <cell r="B26">
            <v>0</v>
          </cell>
          <cell r="C26">
            <v>4190547</v>
          </cell>
          <cell r="D26">
            <v>0</v>
          </cell>
          <cell r="E26">
            <v>4190547</v>
          </cell>
          <cell r="F26">
            <v>0</v>
          </cell>
          <cell r="G26">
            <v>4190547</v>
          </cell>
          <cell r="H26">
            <v>0</v>
          </cell>
          <cell r="I26">
            <v>0</v>
          </cell>
          <cell r="J26">
            <v>-4190547</v>
          </cell>
        </row>
        <row r="27">
          <cell r="A27" t="str">
            <v>1-1-20-02-004  DAP BCI USD</v>
          </cell>
          <cell r="B27">
            <v>91118000</v>
          </cell>
          <cell r="C27">
            <v>2873486</v>
          </cell>
          <cell r="D27">
            <v>88244514</v>
          </cell>
          <cell r="E27">
            <v>0</v>
          </cell>
          <cell r="F27">
            <v>88244514</v>
          </cell>
          <cell r="G27">
            <v>0</v>
          </cell>
          <cell r="H27">
            <v>0</v>
          </cell>
          <cell r="I27">
            <v>0</v>
          </cell>
          <cell r="J27">
            <v>88244514</v>
          </cell>
        </row>
        <row r="28">
          <cell r="A28" t="str">
            <v>1-1-20-04-004  INVERSIONES FI BTG PACTUAL RENTAS EN PESOS</v>
          </cell>
          <cell r="B28">
            <v>14027200</v>
          </cell>
          <cell r="C28">
            <v>0</v>
          </cell>
          <cell r="D28">
            <v>14027200</v>
          </cell>
          <cell r="E28">
            <v>0</v>
          </cell>
          <cell r="F28">
            <v>14027200</v>
          </cell>
          <cell r="G28">
            <v>0</v>
          </cell>
          <cell r="H28">
            <v>0</v>
          </cell>
          <cell r="I28">
            <v>0</v>
          </cell>
          <cell r="J28">
            <v>14027200</v>
          </cell>
        </row>
        <row r="29">
          <cell r="A29" t="str">
            <v>1-1-20-04-005  INVERSIONES BTG FONDO MINING EN DOLARES</v>
          </cell>
          <cell r="B29">
            <v>0</v>
          </cell>
          <cell r="C29">
            <v>49</v>
          </cell>
          <cell r="D29">
            <v>0</v>
          </cell>
          <cell r="E29">
            <v>49</v>
          </cell>
          <cell r="F29">
            <v>0</v>
          </cell>
          <cell r="G29">
            <v>49</v>
          </cell>
          <cell r="H29">
            <v>0</v>
          </cell>
          <cell r="I29">
            <v>0</v>
          </cell>
          <cell r="J29">
            <v>-49</v>
          </cell>
        </row>
        <row r="30">
          <cell r="A30" t="str">
            <v>1-1-20-04-006  BANCHILE CORREDORES DE BOLSA DOLARES</v>
          </cell>
          <cell r="B30">
            <v>54892</v>
          </cell>
          <cell r="C30">
            <v>0</v>
          </cell>
          <cell r="D30">
            <v>54892</v>
          </cell>
          <cell r="E30">
            <v>0</v>
          </cell>
          <cell r="F30">
            <v>54892</v>
          </cell>
          <cell r="G30">
            <v>0</v>
          </cell>
          <cell r="H30">
            <v>0</v>
          </cell>
          <cell r="I30">
            <v>0</v>
          </cell>
          <cell r="J30">
            <v>54892</v>
          </cell>
        </row>
        <row r="31">
          <cell r="A31" t="str">
            <v>1-1-20-04-009  ACCIONES BCI CORREDOR BOLSA</v>
          </cell>
          <cell r="B31">
            <v>47554909</v>
          </cell>
          <cell r="C31">
            <v>0</v>
          </cell>
          <cell r="D31">
            <v>47554909</v>
          </cell>
          <cell r="E31">
            <v>0</v>
          </cell>
          <cell r="F31">
            <v>47554909</v>
          </cell>
          <cell r="G31">
            <v>0</v>
          </cell>
          <cell r="H31">
            <v>0</v>
          </cell>
          <cell r="I31">
            <v>0</v>
          </cell>
          <cell r="J31">
            <v>47554909</v>
          </cell>
        </row>
        <row r="32">
          <cell r="A32" t="str">
            <v>1-1-20-04-010  INVERSION  NEO-RENTAS ADM.</v>
          </cell>
          <cell r="B32">
            <v>0</v>
          </cell>
          <cell r="C32">
            <v>185133</v>
          </cell>
          <cell r="D32">
            <v>0</v>
          </cell>
          <cell r="E32">
            <v>185133</v>
          </cell>
          <cell r="F32">
            <v>0</v>
          </cell>
          <cell r="G32">
            <v>185133</v>
          </cell>
          <cell r="H32">
            <v>0</v>
          </cell>
          <cell r="I32">
            <v>0</v>
          </cell>
          <cell r="J32">
            <v>-185133</v>
          </cell>
        </row>
        <row r="33">
          <cell r="A33" t="str">
            <v>1-1-20-04-013  FONDO MUTUO BTG MONEY MARKET PESOS</v>
          </cell>
          <cell r="B33">
            <v>53636</v>
          </cell>
          <cell r="C33">
            <v>0</v>
          </cell>
          <cell r="D33">
            <v>53636</v>
          </cell>
          <cell r="E33">
            <v>0</v>
          </cell>
          <cell r="F33">
            <v>53636</v>
          </cell>
          <cell r="G33">
            <v>0</v>
          </cell>
          <cell r="H33">
            <v>0</v>
          </cell>
          <cell r="I33">
            <v>0</v>
          </cell>
          <cell r="J33">
            <v>53636</v>
          </cell>
        </row>
        <row r="34">
          <cell r="A34" t="str">
            <v>1-1-20-05-007  ACCIONES ISF FLORIDA HOLDING MIAMI</v>
          </cell>
          <cell r="B34">
            <v>986439065</v>
          </cell>
          <cell r="C34">
            <v>0</v>
          </cell>
          <cell r="D34">
            <v>986439065</v>
          </cell>
          <cell r="E34">
            <v>0</v>
          </cell>
          <cell r="F34">
            <v>986439065</v>
          </cell>
          <cell r="G34">
            <v>0</v>
          </cell>
          <cell r="H34">
            <v>0</v>
          </cell>
          <cell r="I34">
            <v>0</v>
          </cell>
          <cell r="J34">
            <v>986439065</v>
          </cell>
        </row>
        <row r="35">
          <cell r="A35" t="str">
            <v>1-1-30-01-004  POVISION INGRESOS</v>
          </cell>
          <cell r="B35">
            <v>273815575</v>
          </cell>
          <cell r="C35">
            <v>195052008</v>
          </cell>
          <cell r="D35">
            <v>78763567</v>
          </cell>
          <cell r="E35">
            <v>0</v>
          </cell>
          <cell r="F35">
            <v>78763567</v>
          </cell>
          <cell r="G35">
            <v>0</v>
          </cell>
          <cell r="H35">
            <v>0</v>
          </cell>
          <cell r="I35">
            <v>0</v>
          </cell>
          <cell r="J35">
            <v>78763567</v>
          </cell>
        </row>
        <row r="36">
          <cell r="A36" t="str">
            <v>1-1-30-01-005  CLIENTES 2</v>
          </cell>
          <cell r="B36">
            <v>1249485649</v>
          </cell>
          <cell r="C36">
            <v>1270813184</v>
          </cell>
          <cell r="D36">
            <v>0</v>
          </cell>
          <cell r="E36">
            <v>21327535</v>
          </cell>
          <cell r="F36">
            <v>0</v>
          </cell>
          <cell r="G36">
            <v>21327535</v>
          </cell>
          <cell r="H36">
            <v>0</v>
          </cell>
          <cell r="I36">
            <v>0</v>
          </cell>
          <cell r="J36">
            <v>-21327535</v>
          </cell>
        </row>
        <row r="37">
          <cell r="A37" t="str">
            <v>1-1-30-01-007  ESTIMACIÓN DEUDORES INCOBRABLES</v>
          </cell>
          <cell r="B37">
            <v>44851261</v>
          </cell>
          <cell r="C37">
            <v>64743539</v>
          </cell>
          <cell r="D37">
            <v>0</v>
          </cell>
          <cell r="E37">
            <v>19892278</v>
          </cell>
          <cell r="F37">
            <v>0</v>
          </cell>
          <cell r="G37">
            <v>19892278</v>
          </cell>
          <cell r="H37">
            <v>0</v>
          </cell>
          <cell r="I37">
            <v>0</v>
          </cell>
          <cell r="J37">
            <v>-19892278</v>
          </cell>
        </row>
        <row r="38">
          <cell r="A38" t="str">
            <v>1-1-30-01-008  CHEQUE EN CARTERAS (PLAN DE PAGO CLIENTES)</v>
          </cell>
          <cell r="B38">
            <v>16898325</v>
          </cell>
          <cell r="C38">
            <v>21170604</v>
          </cell>
          <cell r="D38">
            <v>0</v>
          </cell>
          <cell r="E38">
            <v>4272279</v>
          </cell>
          <cell r="F38">
            <v>0</v>
          </cell>
          <cell r="G38">
            <v>4272279</v>
          </cell>
          <cell r="H38">
            <v>0</v>
          </cell>
          <cell r="I38">
            <v>0</v>
          </cell>
          <cell r="J38">
            <v>-4272279</v>
          </cell>
        </row>
        <row r="39">
          <cell r="A39" t="str">
            <v>1-1-40-01-006  CTA.CTE. AL PERSONAL</v>
          </cell>
          <cell r="B39">
            <v>0</v>
          </cell>
          <cell r="C39">
            <v>200000</v>
          </cell>
          <cell r="D39">
            <v>0</v>
          </cell>
          <cell r="E39">
            <v>200000</v>
          </cell>
          <cell r="F39">
            <v>0</v>
          </cell>
          <cell r="G39">
            <v>200000</v>
          </cell>
          <cell r="H39">
            <v>0</v>
          </cell>
          <cell r="I39">
            <v>0</v>
          </cell>
          <cell r="J39">
            <v>-200000</v>
          </cell>
        </row>
        <row r="40">
          <cell r="A40" t="str">
            <v>1-1-40-01-010  CTA X COBRAR INV.PRIME CAPITAL INTERNACIONAL (EX SEGOVIA SA)</v>
          </cell>
          <cell r="B40">
            <v>0</v>
          </cell>
          <cell r="C40">
            <v>18012557</v>
          </cell>
          <cell r="D40">
            <v>0</v>
          </cell>
          <cell r="E40">
            <v>18012557</v>
          </cell>
          <cell r="F40">
            <v>0</v>
          </cell>
          <cell r="G40">
            <v>18012557</v>
          </cell>
          <cell r="H40">
            <v>0</v>
          </cell>
          <cell r="I40">
            <v>0</v>
          </cell>
          <cell r="J40">
            <v>-18012557</v>
          </cell>
        </row>
        <row r="41">
          <cell r="A41" t="str">
            <v>1-1-40-01-011  PRESTAMO INVERSIONES GRAN DESIERTO</v>
          </cell>
          <cell r="B41">
            <v>1439453</v>
          </cell>
          <cell r="C41">
            <v>0</v>
          </cell>
          <cell r="D41">
            <v>1439453</v>
          </cell>
          <cell r="E41">
            <v>0</v>
          </cell>
          <cell r="F41">
            <v>1439453</v>
          </cell>
          <cell r="G41">
            <v>0</v>
          </cell>
          <cell r="H41">
            <v>0</v>
          </cell>
          <cell r="I41">
            <v>0</v>
          </cell>
          <cell r="J41">
            <v>1439453</v>
          </cell>
        </row>
        <row r="42">
          <cell r="A42" t="str">
            <v>1-1-40-01-012  MUTUOS POR COBRAR</v>
          </cell>
          <cell r="B42">
            <v>313295</v>
          </cell>
          <cell r="C42">
            <v>0</v>
          </cell>
          <cell r="D42">
            <v>313295</v>
          </cell>
          <cell r="E42">
            <v>0</v>
          </cell>
          <cell r="F42">
            <v>313295</v>
          </cell>
          <cell r="G42">
            <v>0</v>
          </cell>
          <cell r="H42">
            <v>0</v>
          </cell>
          <cell r="I42">
            <v>0</v>
          </cell>
          <cell r="J42">
            <v>313295</v>
          </cell>
        </row>
        <row r="43">
          <cell r="A43" t="str">
            <v>1-1-40-01-013  ANTICIPO PROVEEDORES 2</v>
          </cell>
          <cell r="B43">
            <v>70000</v>
          </cell>
          <cell r="C43">
            <v>0</v>
          </cell>
          <cell r="D43">
            <v>70000</v>
          </cell>
          <cell r="E43">
            <v>0</v>
          </cell>
          <cell r="F43">
            <v>70000</v>
          </cell>
          <cell r="G43">
            <v>0</v>
          </cell>
          <cell r="H43">
            <v>0</v>
          </cell>
          <cell r="I43">
            <v>0</v>
          </cell>
          <cell r="J43">
            <v>70000</v>
          </cell>
        </row>
        <row r="44">
          <cell r="A44" t="str">
            <v>1-1-40-01-014  CTA X COBRAR ISF DOLAR</v>
          </cell>
          <cell r="B44">
            <v>3676115</v>
          </cell>
          <cell r="C44">
            <v>0</v>
          </cell>
          <cell r="D44">
            <v>3676115</v>
          </cell>
          <cell r="E44">
            <v>0</v>
          </cell>
          <cell r="F44">
            <v>3676115</v>
          </cell>
          <cell r="G44">
            <v>0</v>
          </cell>
          <cell r="H44">
            <v>0</v>
          </cell>
          <cell r="I44">
            <v>0</v>
          </cell>
          <cell r="J44">
            <v>3676115</v>
          </cell>
        </row>
        <row r="45">
          <cell r="A45" t="str">
            <v>1-1-40-01-017  ANTICIPO PROVEEDOR 3</v>
          </cell>
          <cell r="B45">
            <v>1469595</v>
          </cell>
          <cell r="C45">
            <v>4817229</v>
          </cell>
          <cell r="D45">
            <v>0</v>
          </cell>
          <cell r="E45">
            <v>3347634</v>
          </cell>
          <cell r="F45">
            <v>0</v>
          </cell>
          <cell r="G45">
            <v>3347634</v>
          </cell>
          <cell r="H45">
            <v>0</v>
          </cell>
          <cell r="I45">
            <v>0</v>
          </cell>
          <cell r="J45">
            <v>-3347634</v>
          </cell>
        </row>
        <row r="46">
          <cell r="A46" t="str">
            <v>1-1-40-01-020  ANTICIPO SUELDO (2)</v>
          </cell>
          <cell r="B46">
            <v>30100000</v>
          </cell>
          <cell r="C46">
            <v>30100000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1-1-40-01-021  C X C INVERSIONES EWA SPA</v>
          </cell>
          <cell r="B47">
            <v>150990248</v>
          </cell>
          <cell r="C47">
            <v>123332</v>
          </cell>
          <cell r="D47">
            <v>150866916</v>
          </cell>
          <cell r="E47">
            <v>0</v>
          </cell>
          <cell r="F47">
            <v>150866916</v>
          </cell>
          <cell r="G47">
            <v>0</v>
          </cell>
          <cell r="H47">
            <v>0</v>
          </cell>
          <cell r="I47">
            <v>0</v>
          </cell>
          <cell r="J47">
            <v>150866916</v>
          </cell>
        </row>
        <row r="48">
          <cell r="A48" t="str">
            <v>1-1-40-01-023  MUTUOS POR COBRAR INV NUEVA FIDELMIRA</v>
          </cell>
          <cell r="B48">
            <v>0</v>
          </cell>
          <cell r="C48">
            <v>5000000</v>
          </cell>
          <cell r="D48">
            <v>0</v>
          </cell>
          <cell r="E48">
            <v>5000000</v>
          </cell>
          <cell r="F48">
            <v>0</v>
          </cell>
          <cell r="G48">
            <v>5000000</v>
          </cell>
          <cell r="H48">
            <v>0</v>
          </cell>
          <cell r="I48">
            <v>0</v>
          </cell>
          <cell r="J48">
            <v>-5000000</v>
          </cell>
        </row>
        <row r="49">
          <cell r="A49" t="str">
            <v>1-1-40-01-024  MUTUOS POR COBRAR INVERSIONES EWA</v>
          </cell>
          <cell r="B49">
            <v>707140261</v>
          </cell>
          <cell r="C49">
            <v>0</v>
          </cell>
          <cell r="D49">
            <v>707140261</v>
          </cell>
          <cell r="E49">
            <v>0</v>
          </cell>
          <cell r="F49">
            <v>707140261</v>
          </cell>
          <cell r="G49">
            <v>0</v>
          </cell>
          <cell r="H49">
            <v>0</v>
          </cell>
          <cell r="I49">
            <v>0</v>
          </cell>
          <cell r="J49">
            <v>707140261</v>
          </cell>
        </row>
        <row r="50">
          <cell r="A50" t="str">
            <v>1-1-40-02-002  BOLETA GARANTIA  PROMESAS COMPRA/VENTA</v>
          </cell>
          <cell r="B50">
            <v>0</v>
          </cell>
          <cell r="C50">
            <v>148116704</v>
          </cell>
          <cell r="D50">
            <v>0</v>
          </cell>
          <cell r="E50">
            <v>148116704</v>
          </cell>
          <cell r="F50">
            <v>0</v>
          </cell>
          <cell r="G50">
            <v>148116704</v>
          </cell>
          <cell r="H50">
            <v>0</v>
          </cell>
          <cell r="I50">
            <v>0</v>
          </cell>
          <cell r="J50">
            <v>-148116704</v>
          </cell>
        </row>
        <row r="51">
          <cell r="A51" t="str">
            <v>1-1-50-01-005  PAGARE POR COBRAR DOLE</v>
          </cell>
          <cell r="B51">
            <v>452297</v>
          </cell>
          <cell r="C51">
            <v>4846429</v>
          </cell>
          <cell r="D51">
            <v>0</v>
          </cell>
          <cell r="E51">
            <v>4394132</v>
          </cell>
          <cell r="F51">
            <v>0</v>
          </cell>
          <cell r="G51">
            <v>4394132</v>
          </cell>
          <cell r="H51">
            <v>0</v>
          </cell>
          <cell r="I51">
            <v>0</v>
          </cell>
          <cell r="J51">
            <v>-4394132</v>
          </cell>
        </row>
        <row r="52">
          <cell r="A52" t="str">
            <v>1-1-50-01-006  CTA, POR COBRAR DINAMITY</v>
          </cell>
          <cell r="B52">
            <v>384115</v>
          </cell>
          <cell r="C52">
            <v>0</v>
          </cell>
          <cell r="D52">
            <v>384115</v>
          </cell>
          <cell r="E52">
            <v>0</v>
          </cell>
          <cell r="F52">
            <v>384115</v>
          </cell>
          <cell r="G52">
            <v>0</v>
          </cell>
          <cell r="H52">
            <v>0</v>
          </cell>
          <cell r="I52">
            <v>0</v>
          </cell>
          <cell r="J52">
            <v>384115</v>
          </cell>
        </row>
        <row r="53">
          <cell r="A53" t="str">
            <v>1-1-50-01-007  PAGARES POR COBRAR INMOBILIARIA CUATRO</v>
          </cell>
          <cell r="B53">
            <v>141542</v>
          </cell>
          <cell r="C53">
            <v>0</v>
          </cell>
          <cell r="D53">
            <v>141542</v>
          </cell>
          <cell r="E53">
            <v>0</v>
          </cell>
          <cell r="F53">
            <v>141542</v>
          </cell>
          <cell r="G53">
            <v>0</v>
          </cell>
          <cell r="H53">
            <v>0</v>
          </cell>
          <cell r="I53">
            <v>0</v>
          </cell>
          <cell r="J53">
            <v>141542</v>
          </cell>
        </row>
        <row r="54">
          <cell r="A54" t="str">
            <v>1-1-50-01-008  CUENTA POR COBRAR INMOB VALDEPEÑAS SPA</v>
          </cell>
          <cell r="B54">
            <v>6320591</v>
          </cell>
          <cell r="C54">
            <v>0</v>
          </cell>
          <cell r="D54">
            <v>6320591</v>
          </cell>
          <cell r="E54">
            <v>0</v>
          </cell>
          <cell r="F54">
            <v>6320591</v>
          </cell>
          <cell r="G54">
            <v>0</v>
          </cell>
          <cell r="H54">
            <v>0</v>
          </cell>
          <cell r="I54">
            <v>0</v>
          </cell>
          <cell r="J54">
            <v>6320591</v>
          </cell>
        </row>
        <row r="55">
          <cell r="A55" t="str">
            <v>1-1-50-01-009  CUENTA POR COBRAR INMOB LIRCAY SPA</v>
          </cell>
          <cell r="B55">
            <v>3280419</v>
          </cell>
          <cell r="C55">
            <v>0</v>
          </cell>
          <cell r="D55">
            <v>3280419</v>
          </cell>
          <cell r="E55">
            <v>0</v>
          </cell>
          <cell r="F55">
            <v>3280419</v>
          </cell>
          <cell r="G55">
            <v>0</v>
          </cell>
          <cell r="H55">
            <v>0</v>
          </cell>
          <cell r="I55">
            <v>0</v>
          </cell>
          <cell r="J55">
            <v>3280419</v>
          </cell>
        </row>
        <row r="56">
          <cell r="A56" t="str">
            <v>1-1-60-01-001  INT. DIF. LEASING VALPO- C/P</v>
          </cell>
          <cell r="B56">
            <v>0</v>
          </cell>
          <cell r="C56">
            <v>257955</v>
          </cell>
          <cell r="D56">
            <v>0</v>
          </cell>
          <cell r="E56">
            <v>257955</v>
          </cell>
          <cell r="F56">
            <v>0</v>
          </cell>
          <cell r="G56">
            <v>257955</v>
          </cell>
          <cell r="H56">
            <v>0</v>
          </cell>
          <cell r="I56">
            <v>0</v>
          </cell>
          <cell r="J56">
            <v>-257955</v>
          </cell>
        </row>
        <row r="57">
          <cell r="A57" t="str">
            <v>1-1-60-01-002  INT. DIF. LEASING CAUQUENES C/P</v>
          </cell>
          <cell r="B57">
            <v>0</v>
          </cell>
          <cell r="C57">
            <v>202373</v>
          </cell>
          <cell r="D57">
            <v>0</v>
          </cell>
          <cell r="E57">
            <v>202373</v>
          </cell>
          <cell r="F57">
            <v>0</v>
          </cell>
          <cell r="G57">
            <v>202373</v>
          </cell>
          <cell r="H57">
            <v>0</v>
          </cell>
          <cell r="I57">
            <v>0</v>
          </cell>
          <cell r="J57">
            <v>-202373</v>
          </cell>
        </row>
        <row r="58">
          <cell r="A58" t="str">
            <v>1-1-60-01-003  INTERES DIF.LEASING-OUTLET C/P</v>
          </cell>
          <cell r="B58">
            <v>0</v>
          </cell>
          <cell r="C58">
            <v>1062316</v>
          </cell>
          <cell r="D58">
            <v>0</v>
          </cell>
          <cell r="E58">
            <v>1062316</v>
          </cell>
          <cell r="F58">
            <v>0</v>
          </cell>
          <cell r="G58">
            <v>1062316</v>
          </cell>
          <cell r="H58">
            <v>0</v>
          </cell>
          <cell r="I58">
            <v>0</v>
          </cell>
          <cell r="J58">
            <v>-1062316</v>
          </cell>
        </row>
        <row r="59">
          <cell r="A59" t="str">
            <v>1-1-60-01-011  INT.DIF.LEASING VALPO L/P</v>
          </cell>
          <cell r="B59">
            <v>0</v>
          </cell>
          <cell r="C59">
            <v>2104504</v>
          </cell>
          <cell r="D59">
            <v>0</v>
          </cell>
          <cell r="E59">
            <v>2104504</v>
          </cell>
          <cell r="F59">
            <v>0</v>
          </cell>
          <cell r="G59">
            <v>2104504</v>
          </cell>
          <cell r="H59">
            <v>0</v>
          </cell>
          <cell r="I59">
            <v>0</v>
          </cell>
          <cell r="J59">
            <v>-2104504</v>
          </cell>
        </row>
        <row r="60">
          <cell r="A60" t="str">
            <v>1-1-60-01-012  INT.DIF.LEASING CAUQUENES L/P</v>
          </cell>
          <cell r="B60">
            <v>0</v>
          </cell>
          <cell r="C60">
            <v>1685061</v>
          </cell>
          <cell r="D60">
            <v>0</v>
          </cell>
          <cell r="E60">
            <v>1685061</v>
          </cell>
          <cell r="F60">
            <v>0</v>
          </cell>
          <cell r="G60">
            <v>1685061</v>
          </cell>
          <cell r="H60">
            <v>0</v>
          </cell>
          <cell r="I60">
            <v>0</v>
          </cell>
          <cell r="J60">
            <v>-1685061</v>
          </cell>
        </row>
        <row r="61">
          <cell r="A61" t="str">
            <v>1-1-60-01-013  INTERES DIF. LEASING OUTLET-L/P</v>
          </cell>
          <cell r="B61">
            <v>0</v>
          </cell>
          <cell r="C61">
            <v>40140216</v>
          </cell>
          <cell r="D61">
            <v>0</v>
          </cell>
          <cell r="E61">
            <v>40140216</v>
          </cell>
          <cell r="F61">
            <v>0</v>
          </cell>
          <cell r="G61">
            <v>40140216</v>
          </cell>
          <cell r="H61">
            <v>0</v>
          </cell>
          <cell r="I61">
            <v>0</v>
          </cell>
          <cell r="J61">
            <v>-40140216</v>
          </cell>
        </row>
        <row r="62">
          <cell r="A62" t="str">
            <v>1-1-60-01-014  INTERESES DIF VEHICULOS LEASING CP</v>
          </cell>
          <cell r="B62">
            <v>0</v>
          </cell>
          <cell r="C62">
            <v>526720</v>
          </cell>
          <cell r="D62">
            <v>0</v>
          </cell>
          <cell r="E62">
            <v>526720</v>
          </cell>
          <cell r="F62">
            <v>0</v>
          </cell>
          <cell r="G62">
            <v>526720</v>
          </cell>
          <cell r="H62">
            <v>0</v>
          </cell>
          <cell r="I62">
            <v>0</v>
          </cell>
          <cell r="J62">
            <v>-526720</v>
          </cell>
        </row>
        <row r="63">
          <cell r="A63" t="str">
            <v>1-1-60-01-015  INTERESES DIF VEHICULOS LEASING LP</v>
          </cell>
          <cell r="B63">
            <v>0</v>
          </cell>
          <cell r="C63">
            <v>25477</v>
          </cell>
          <cell r="D63">
            <v>0</v>
          </cell>
          <cell r="E63">
            <v>25477</v>
          </cell>
          <cell r="F63">
            <v>0</v>
          </cell>
          <cell r="G63">
            <v>25477</v>
          </cell>
          <cell r="H63">
            <v>0</v>
          </cell>
          <cell r="I63">
            <v>0</v>
          </cell>
          <cell r="J63">
            <v>-25477</v>
          </cell>
        </row>
        <row r="64">
          <cell r="A64" t="str">
            <v>1-1-60-01-016  INTER DIF  HIPOTECARIO LOS MORROS CP</v>
          </cell>
          <cell r="B64">
            <v>0</v>
          </cell>
          <cell r="C64">
            <v>489345</v>
          </cell>
          <cell r="D64">
            <v>0</v>
          </cell>
          <cell r="E64">
            <v>489345</v>
          </cell>
          <cell r="F64">
            <v>0</v>
          </cell>
          <cell r="G64">
            <v>489345</v>
          </cell>
          <cell r="H64">
            <v>0</v>
          </cell>
          <cell r="I64">
            <v>0</v>
          </cell>
          <cell r="J64">
            <v>-489345</v>
          </cell>
        </row>
        <row r="65">
          <cell r="A65" t="str">
            <v>1-1-60-01-017  INTER DIF HIPOTECARIO LOS MORROS LP</v>
          </cell>
          <cell r="B65">
            <v>0</v>
          </cell>
          <cell r="C65">
            <v>11812518</v>
          </cell>
          <cell r="D65">
            <v>0</v>
          </cell>
          <cell r="E65">
            <v>11812518</v>
          </cell>
          <cell r="F65">
            <v>0</v>
          </cell>
          <cell r="G65">
            <v>11812518</v>
          </cell>
          <cell r="H65">
            <v>0</v>
          </cell>
          <cell r="I65">
            <v>0</v>
          </cell>
          <cell r="J65">
            <v>-11812518</v>
          </cell>
        </row>
        <row r="66">
          <cell r="A66" t="str">
            <v>1-1-60-01-018  INTERESES DIF INTERNACIONAL CP M$600</v>
          </cell>
          <cell r="B66">
            <v>0</v>
          </cell>
          <cell r="C66">
            <v>2137060</v>
          </cell>
          <cell r="D66">
            <v>0</v>
          </cell>
          <cell r="E66">
            <v>2137060</v>
          </cell>
          <cell r="F66">
            <v>0</v>
          </cell>
          <cell r="G66">
            <v>2137060</v>
          </cell>
          <cell r="H66">
            <v>0</v>
          </cell>
          <cell r="I66">
            <v>0</v>
          </cell>
          <cell r="J66">
            <v>-2137060</v>
          </cell>
        </row>
        <row r="67">
          <cell r="A67" t="str">
            <v>1-1-60-01-020  INTERESES DIF INTERNACIONAL CP M$1.000</v>
          </cell>
          <cell r="B67">
            <v>0</v>
          </cell>
          <cell r="C67">
            <v>483804</v>
          </cell>
          <cell r="D67">
            <v>0</v>
          </cell>
          <cell r="E67">
            <v>483804</v>
          </cell>
          <cell r="F67">
            <v>0</v>
          </cell>
          <cell r="G67">
            <v>483804</v>
          </cell>
          <cell r="H67">
            <v>0</v>
          </cell>
          <cell r="I67">
            <v>0</v>
          </cell>
          <cell r="J67">
            <v>-483804</v>
          </cell>
        </row>
        <row r="68">
          <cell r="A68" t="str">
            <v>1-1-60-01-021  INTERESES DIF INTERNACIONAL LP M$1.000</v>
          </cell>
          <cell r="B68">
            <v>0</v>
          </cell>
          <cell r="C68">
            <v>5059320</v>
          </cell>
          <cell r="D68">
            <v>0</v>
          </cell>
          <cell r="E68">
            <v>5059320</v>
          </cell>
          <cell r="F68">
            <v>0</v>
          </cell>
          <cell r="G68">
            <v>5059320</v>
          </cell>
          <cell r="H68">
            <v>0</v>
          </cell>
          <cell r="I68">
            <v>0</v>
          </cell>
          <cell r="J68">
            <v>-5059320</v>
          </cell>
        </row>
        <row r="69">
          <cell r="A69" t="str">
            <v>1-1-70-01-001  IVA CREDITO FISCAL</v>
          </cell>
          <cell r="B69">
            <v>90528967</v>
          </cell>
          <cell r="C69">
            <v>90528967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1-1-70-01-010  INTER. DIF. LEASING 1 SUR 1990 CP</v>
          </cell>
          <cell r="B70">
            <v>115442</v>
          </cell>
          <cell r="C70">
            <v>115442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1-1-70-01-011  INTER. DIF. LEASING SAN JAVIER CP</v>
          </cell>
          <cell r="B71">
            <v>99261</v>
          </cell>
          <cell r="C71">
            <v>99261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1-1-70-01-012  INTER. DIF. LEASING COLIN 0240 CP</v>
          </cell>
          <cell r="B72">
            <v>186825</v>
          </cell>
          <cell r="C72">
            <v>186825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1-1-70-01-013  INTER. DIF. LEASING C. SATELITE CP</v>
          </cell>
          <cell r="B73">
            <v>274666</v>
          </cell>
          <cell r="C73">
            <v>274666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1-1-70-01-014  INTER. DIF. LEASING 11 ORIENTE CP</v>
          </cell>
          <cell r="B74">
            <v>0</v>
          </cell>
          <cell r="C74">
            <v>528157</v>
          </cell>
          <cell r="D74">
            <v>0</v>
          </cell>
          <cell r="E74">
            <v>528157</v>
          </cell>
          <cell r="F74">
            <v>0</v>
          </cell>
          <cell r="G74">
            <v>528157</v>
          </cell>
          <cell r="H74">
            <v>0</v>
          </cell>
          <cell r="I74">
            <v>0</v>
          </cell>
          <cell r="J74">
            <v>-528157</v>
          </cell>
        </row>
        <row r="75">
          <cell r="A75" t="str">
            <v>1-1-70-01-015  INTER. DIF. LEASING MAIPU 556 CP</v>
          </cell>
          <cell r="B75">
            <v>0</v>
          </cell>
          <cell r="C75">
            <v>467436</v>
          </cell>
          <cell r="D75">
            <v>0</v>
          </cell>
          <cell r="E75">
            <v>467436</v>
          </cell>
          <cell r="F75">
            <v>0</v>
          </cell>
          <cell r="G75">
            <v>467436</v>
          </cell>
          <cell r="H75">
            <v>0</v>
          </cell>
          <cell r="I75">
            <v>0</v>
          </cell>
          <cell r="J75">
            <v>-467436</v>
          </cell>
        </row>
        <row r="76">
          <cell r="A76" t="str">
            <v>1-1-70-01-016  INTER. DIF. LEASING BRASIL 648 CP</v>
          </cell>
          <cell r="B76">
            <v>0</v>
          </cell>
          <cell r="C76">
            <v>358367</v>
          </cell>
          <cell r="D76">
            <v>0</v>
          </cell>
          <cell r="E76">
            <v>358367</v>
          </cell>
          <cell r="F76">
            <v>0</v>
          </cell>
          <cell r="G76">
            <v>358367</v>
          </cell>
          <cell r="H76">
            <v>0</v>
          </cell>
          <cell r="I76">
            <v>0</v>
          </cell>
          <cell r="J76">
            <v>-358367</v>
          </cell>
        </row>
        <row r="77">
          <cell r="A77" t="str">
            <v>1-1-70-01-017  INTER. DIF. LEASING VIAL 224 CP</v>
          </cell>
          <cell r="B77">
            <v>0</v>
          </cell>
          <cell r="C77">
            <v>428483</v>
          </cell>
          <cell r="D77">
            <v>0</v>
          </cell>
          <cell r="E77">
            <v>428483</v>
          </cell>
          <cell r="F77">
            <v>0</v>
          </cell>
          <cell r="G77">
            <v>428483</v>
          </cell>
          <cell r="H77">
            <v>0</v>
          </cell>
          <cell r="I77">
            <v>0</v>
          </cell>
          <cell r="J77">
            <v>-428483</v>
          </cell>
        </row>
        <row r="78">
          <cell r="A78" t="str">
            <v>1-1-70-01-018  INTER. DIF. LEASING TALCA COLIN CP</v>
          </cell>
          <cell r="B78">
            <v>0</v>
          </cell>
          <cell r="C78">
            <v>3801875</v>
          </cell>
          <cell r="D78">
            <v>0</v>
          </cell>
          <cell r="E78">
            <v>3801875</v>
          </cell>
          <cell r="F78">
            <v>0</v>
          </cell>
          <cell r="G78">
            <v>3801875</v>
          </cell>
          <cell r="H78">
            <v>0</v>
          </cell>
          <cell r="I78">
            <v>0</v>
          </cell>
          <cell r="J78">
            <v>-3801875</v>
          </cell>
        </row>
        <row r="79">
          <cell r="A79" t="str">
            <v>1-1-70-01-019  INTER. DIF. HIPOTECARIO CP</v>
          </cell>
          <cell r="B79">
            <v>0</v>
          </cell>
          <cell r="C79">
            <v>389830</v>
          </cell>
          <cell r="D79">
            <v>0</v>
          </cell>
          <cell r="E79">
            <v>389830</v>
          </cell>
          <cell r="F79">
            <v>0</v>
          </cell>
          <cell r="G79">
            <v>389830</v>
          </cell>
          <cell r="H79">
            <v>0</v>
          </cell>
          <cell r="I79">
            <v>0</v>
          </cell>
          <cell r="J79">
            <v>-389830</v>
          </cell>
        </row>
        <row r="80">
          <cell r="A80" t="str">
            <v>1-1-70-01-025  INTER. DIF. LEASING 11 ORIENTE LP</v>
          </cell>
          <cell r="B80">
            <v>0</v>
          </cell>
          <cell r="C80">
            <v>84834</v>
          </cell>
          <cell r="D80">
            <v>0</v>
          </cell>
          <cell r="E80">
            <v>84834</v>
          </cell>
          <cell r="F80">
            <v>0</v>
          </cell>
          <cell r="G80">
            <v>84834</v>
          </cell>
          <cell r="H80">
            <v>0</v>
          </cell>
          <cell r="I80">
            <v>0</v>
          </cell>
          <cell r="J80">
            <v>-84834</v>
          </cell>
        </row>
        <row r="81">
          <cell r="A81" t="str">
            <v>1-1-70-01-026  INTER. DIF. LEASING MAIPU 556 LP</v>
          </cell>
          <cell r="B81">
            <v>0</v>
          </cell>
          <cell r="C81">
            <v>75080</v>
          </cell>
          <cell r="D81">
            <v>0</v>
          </cell>
          <cell r="E81">
            <v>75080</v>
          </cell>
          <cell r="F81">
            <v>0</v>
          </cell>
          <cell r="G81">
            <v>75080</v>
          </cell>
          <cell r="H81">
            <v>0</v>
          </cell>
          <cell r="I81">
            <v>0</v>
          </cell>
          <cell r="J81">
            <v>-75080</v>
          </cell>
        </row>
        <row r="82">
          <cell r="A82" t="str">
            <v>1-1-70-01-027  INTER. DIF. LEASING BRASIL 648 LP</v>
          </cell>
          <cell r="B82">
            <v>0</v>
          </cell>
          <cell r="C82">
            <v>57562</v>
          </cell>
          <cell r="D82">
            <v>0</v>
          </cell>
          <cell r="E82">
            <v>57562</v>
          </cell>
          <cell r="F82">
            <v>0</v>
          </cell>
          <cell r="G82">
            <v>57562</v>
          </cell>
          <cell r="H82">
            <v>0</v>
          </cell>
          <cell r="I82">
            <v>0</v>
          </cell>
          <cell r="J82">
            <v>-57562</v>
          </cell>
        </row>
        <row r="83">
          <cell r="A83" t="str">
            <v>1-1-70-01-028  INTER. DIF. LEASING VIAL 224 LP</v>
          </cell>
          <cell r="B83">
            <v>0</v>
          </cell>
          <cell r="C83">
            <v>68824</v>
          </cell>
          <cell r="D83">
            <v>0</v>
          </cell>
          <cell r="E83">
            <v>68824</v>
          </cell>
          <cell r="F83">
            <v>0</v>
          </cell>
          <cell r="G83">
            <v>68824</v>
          </cell>
          <cell r="H83">
            <v>0</v>
          </cell>
          <cell r="I83">
            <v>0</v>
          </cell>
          <cell r="J83">
            <v>-68824</v>
          </cell>
        </row>
        <row r="84">
          <cell r="A84" t="str">
            <v>1-1-70-01-029  INTER. DIF. LEASING TALCA COLIN LP</v>
          </cell>
          <cell r="B84">
            <v>0</v>
          </cell>
          <cell r="C84">
            <v>4359672</v>
          </cell>
          <cell r="D84">
            <v>0</v>
          </cell>
          <cell r="E84">
            <v>4359672</v>
          </cell>
          <cell r="F84">
            <v>0</v>
          </cell>
          <cell r="G84">
            <v>4359672</v>
          </cell>
          <cell r="H84">
            <v>0</v>
          </cell>
          <cell r="I84">
            <v>0</v>
          </cell>
          <cell r="J84">
            <v>-4359672</v>
          </cell>
        </row>
        <row r="85">
          <cell r="A85" t="str">
            <v>1-1-70-01-031  INTERESES POR COBRAR MUTUOS EWA</v>
          </cell>
          <cell r="B85">
            <v>256352</v>
          </cell>
          <cell r="C85">
            <v>0</v>
          </cell>
          <cell r="D85">
            <v>256352</v>
          </cell>
          <cell r="E85">
            <v>0</v>
          </cell>
          <cell r="F85">
            <v>256352</v>
          </cell>
          <cell r="G85">
            <v>0</v>
          </cell>
          <cell r="H85">
            <v>0</v>
          </cell>
          <cell r="I85">
            <v>0</v>
          </cell>
          <cell r="J85">
            <v>256352</v>
          </cell>
        </row>
        <row r="86">
          <cell r="A86" t="str">
            <v>1-1-70-01-032  INTERESES MUTUOS POR COBRAR INSF</v>
          </cell>
          <cell r="B86">
            <v>822</v>
          </cell>
          <cell r="C86">
            <v>25890</v>
          </cell>
          <cell r="D86">
            <v>0</v>
          </cell>
          <cell r="E86">
            <v>25068</v>
          </cell>
          <cell r="F86">
            <v>0</v>
          </cell>
          <cell r="G86">
            <v>25068</v>
          </cell>
          <cell r="H86">
            <v>0</v>
          </cell>
          <cell r="I86">
            <v>0</v>
          </cell>
          <cell r="J86">
            <v>-25068</v>
          </cell>
        </row>
        <row r="87">
          <cell r="A87" t="str">
            <v>1-2-01-04-001  TERRENOS</v>
          </cell>
          <cell r="B87">
            <v>0</v>
          </cell>
          <cell r="C87">
            <v>6155520656</v>
          </cell>
          <cell r="D87">
            <v>0</v>
          </cell>
          <cell r="E87">
            <v>6155520656</v>
          </cell>
          <cell r="F87">
            <v>0</v>
          </cell>
          <cell r="G87">
            <v>6155520656</v>
          </cell>
          <cell r="H87">
            <v>0</v>
          </cell>
          <cell r="I87">
            <v>0</v>
          </cell>
          <cell r="J87">
            <v>-6155520656</v>
          </cell>
        </row>
        <row r="88">
          <cell r="A88" t="str">
            <v>1-2-01-04-002  BIENES RAICES</v>
          </cell>
          <cell r="B88">
            <v>0</v>
          </cell>
          <cell r="C88">
            <v>293260463</v>
          </cell>
          <cell r="D88">
            <v>0</v>
          </cell>
          <cell r="E88">
            <v>293260463</v>
          </cell>
          <cell r="F88">
            <v>0</v>
          </cell>
          <cell r="G88">
            <v>293260463</v>
          </cell>
          <cell r="H88">
            <v>0</v>
          </cell>
          <cell r="I88">
            <v>0</v>
          </cell>
          <cell r="J88">
            <v>-293260463</v>
          </cell>
        </row>
        <row r="89">
          <cell r="A89" t="str">
            <v>1-2-01-05-003  CONSTRUCCION RENCA</v>
          </cell>
          <cell r="B89">
            <v>727930124</v>
          </cell>
          <cell r="C89">
            <v>0</v>
          </cell>
          <cell r="D89">
            <v>727930124</v>
          </cell>
          <cell r="E89">
            <v>0</v>
          </cell>
          <cell r="F89">
            <v>727930124</v>
          </cell>
          <cell r="G89">
            <v>0</v>
          </cell>
          <cell r="H89">
            <v>0</v>
          </cell>
          <cell r="I89">
            <v>0</v>
          </cell>
          <cell r="J89">
            <v>727930124</v>
          </cell>
        </row>
        <row r="90">
          <cell r="A90" t="str">
            <v>1-2-01-05-009  CONSTRUCCION TALAGANTE</v>
          </cell>
          <cell r="B90">
            <v>1343040629</v>
          </cell>
          <cell r="C90">
            <v>0</v>
          </cell>
          <cell r="D90">
            <v>1343040629</v>
          </cell>
          <cell r="E90">
            <v>0</v>
          </cell>
          <cell r="F90">
            <v>1343040629</v>
          </cell>
          <cell r="G90">
            <v>0</v>
          </cell>
          <cell r="H90">
            <v>0</v>
          </cell>
          <cell r="I90">
            <v>0</v>
          </cell>
          <cell r="J90">
            <v>1343040629</v>
          </cell>
        </row>
        <row r="91">
          <cell r="A91" t="str">
            <v>1-2-01-05-013  CONSTRUCCION VICENTE VALDES</v>
          </cell>
          <cell r="B91">
            <v>2695086992</v>
          </cell>
          <cell r="C91">
            <v>0</v>
          </cell>
          <cell r="D91">
            <v>2695086992</v>
          </cell>
          <cell r="E91">
            <v>0</v>
          </cell>
          <cell r="F91">
            <v>2695086992</v>
          </cell>
          <cell r="G91">
            <v>0</v>
          </cell>
          <cell r="H91">
            <v>0</v>
          </cell>
          <cell r="I91">
            <v>0</v>
          </cell>
          <cell r="J91">
            <v>2695086992</v>
          </cell>
        </row>
        <row r="92">
          <cell r="A92" t="str">
            <v>1-2-01-08-010  DEPREC. ACUM.  ACTIVOS EN LEASING</v>
          </cell>
          <cell r="B92">
            <v>672927049</v>
          </cell>
          <cell r="C92">
            <v>734102237</v>
          </cell>
          <cell r="D92">
            <v>0</v>
          </cell>
          <cell r="E92">
            <v>61175188</v>
          </cell>
          <cell r="F92">
            <v>0</v>
          </cell>
          <cell r="G92">
            <v>61175188</v>
          </cell>
          <cell r="H92">
            <v>0</v>
          </cell>
          <cell r="I92">
            <v>0</v>
          </cell>
          <cell r="J92">
            <v>-61175188</v>
          </cell>
        </row>
        <row r="93">
          <cell r="A93" t="str">
            <v>1-2-01-11-001  PROYECTO GIMNASIO LINARES</v>
          </cell>
          <cell r="B93">
            <v>446413072</v>
          </cell>
          <cell r="C93">
            <v>0</v>
          </cell>
          <cell r="D93">
            <v>446413072</v>
          </cell>
          <cell r="E93">
            <v>0</v>
          </cell>
          <cell r="F93">
            <v>446413072</v>
          </cell>
          <cell r="G93">
            <v>0</v>
          </cell>
          <cell r="H93">
            <v>0</v>
          </cell>
          <cell r="I93">
            <v>0</v>
          </cell>
          <cell r="J93">
            <v>446413072</v>
          </cell>
        </row>
        <row r="94">
          <cell r="A94" t="str">
            <v>1-2-01-15-001  PROYECTO MULCHEN</v>
          </cell>
          <cell r="B94">
            <v>943049839</v>
          </cell>
          <cell r="C94">
            <v>0</v>
          </cell>
          <cell r="D94">
            <v>943049839</v>
          </cell>
          <cell r="E94">
            <v>0</v>
          </cell>
          <cell r="F94">
            <v>943049839</v>
          </cell>
          <cell r="G94">
            <v>0</v>
          </cell>
          <cell r="H94">
            <v>0</v>
          </cell>
          <cell r="I94">
            <v>0</v>
          </cell>
          <cell r="J94">
            <v>943049839</v>
          </cell>
        </row>
        <row r="95">
          <cell r="A95" t="str">
            <v>1-2-01-16-001  PROYECTO EL TREBOL LINARES</v>
          </cell>
          <cell r="B95">
            <v>263192028</v>
          </cell>
          <cell r="C95">
            <v>0</v>
          </cell>
          <cell r="D95">
            <v>263192028</v>
          </cell>
          <cell r="E95">
            <v>0</v>
          </cell>
          <cell r="F95">
            <v>263192028</v>
          </cell>
          <cell r="G95">
            <v>0</v>
          </cell>
          <cell r="H95">
            <v>0</v>
          </cell>
          <cell r="I95">
            <v>0</v>
          </cell>
          <cell r="J95">
            <v>263192028</v>
          </cell>
        </row>
        <row r="96">
          <cell r="A96" t="str">
            <v>1-2-02-01-001  DEP. ACUM. MUEBLES Y UTILES</v>
          </cell>
          <cell r="B96">
            <v>0</v>
          </cell>
          <cell r="C96">
            <v>428442</v>
          </cell>
          <cell r="D96">
            <v>0</v>
          </cell>
          <cell r="E96">
            <v>428442</v>
          </cell>
          <cell r="F96">
            <v>0</v>
          </cell>
          <cell r="G96">
            <v>428442</v>
          </cell>
          <cell r="H96">
            <v>0</v>
          </cell>
          <cell r="I96">
            <v>0</v>
          </cell>
          <cell r="J96">
            <v>-428442</v>
          </cell>
        </row>
        <row r="97">
          <cell r="A97" t="str">
            <v>1-2-02-02-001  DEP.ACUM. INSTALACIONES</v>
          </cell>
          <cell r="B97">
            <v>0</v>
          </cell>
          <cell r="C97">
            <v>14009</v>
          </cell>
          <cell r="D97">
            <v>0</v>
          </cell>
          <cell r="E97">
            <v>14009</v>
          </cell>
          <cell r="F97">
            <v>0</v>
          </cell>
          <cell r="G97">
            <v>14009</v>
          </cell>
          <cell r="H97">
            <v>0</v>
          </cell>
          <cell r="I97">
            <v>0</v>
          </cell>
          <cell r="J97">
            <v>-14009</v>
          </cell>
        </row>
        <row r="98">
          <cell r="A98" t="str">
            <v>1-2-02-05-001  DEP. ACUM. CONSTRUCCION PARRAL</v>
          </cell>
          <cell r="B98">
            <v>0</v>
          </cell>
          <cell r="C98">
            <v>390559</v>
          </cell>
          <cell r="D98">
            <v>0</v>
          </cell>
          <cell r="E98">
            <v>390559</v>
          </cell>
          <cell r="F98">
            <v>0</v>
          </cell>
          <cell r="G98">
            <v>390559</v>
          </cell>
          <cell r="H98">
            <v>0</v>
          </cell>
          <cell r="I98">
            <v>0</v>
          </cell>
          <cell r="J98">
            <v>-390559</v>
          </cell>
        </row>
        <row r="99">
          <cell r="A99" t="str">
            <v>1-2-02-05-002  DEP. ACUM. CONSTRUCCION LINARES</v>
          </cell>
          <cell r="B99">
            <v>0</v>
          </cell>
          <cell r="C99">
            <v>418935</v>
          </cell>
          <cell r="D99">
            <v>0</v>
          </cell>
          <cell r="E99">
            <v>418935</v>
          </cell>
          <cell r="F99">
            <v>0</v>
          </cell>
          <cell r="G99">
            <v>418935</v>
          </cell>
          <cell r="H99">
            <v>0</v>
          </cell>
          <cell r="I99">
            <v>0</v>
          </cell>
          <cell r="J99">
            <v>-418935</v>
          </cell>
        </row>
        <row r="100">
          <cell r="A100" t="str">
            <v>1-2-02-05-003  DEP. ACUM. CONSTRUCCION TALCA</v>
          </cell>
          <cell r="B100">
            <v>0</v>
          </cell>
          <cell r="C100">
            <v>1760097</v>
          </cell>
          <cell r="D100">
            <v>0</v>
          </cell>
          <cell r="E100">
            <v>1760097</v>
          </cell>
          <cell r="F100">
            <v>0</v>
          </cell>
          <cell r="G100">
            <v>1760097</v>
          </cell>
          <cell r="H100">
            <v>0</v>
          </cell>
          <cell r="I100">
            <v>0</v>
          </cell>
          <cell r="J100">
            <v>-1760097</v>
          </cell>
        </row>
        <row r="101">
          <cell r="A101" t="str">
            <v>1-2-02-05-004  DEP. ACUM. CONSTRUCCION RENCA</v>
          </cell>
          <cell r="B101">
            <v>0</v>
          </cell>
          <cell r="C101">
            <v>1099817</v>
          </cell>
          <cell r="D101">
            <v>0</v>
          </cell>
          <cell r="E101">
            <v>1099817</v>
          </cell>
          <cell r="F101">
            <v>0</v>
          </cell>
          <cell r="G101">
            <v>1099817</v>
          </cell>
          <cell r="H101">
            <v>0</v>
          </cell>
          <cell r="I101">
            <v>0</v>
          </cell>
          <cell r="J101">
            <v>-1099817</v>
          </cell>
        </row>
        <row r="102">
          <cell r="A102" t="str">
            <v>1-2-02-05-005  DEP. ACUM. CONSTRUCCION VICENTE VALDES</v>
          </cell>
          <cell r="B102">
            <v>0</v>
          </cell>
          <cell r="C102">
            <v>4413718</v>
          </cell>
          <cell r="D102">
            <v>0</v>
          </cell>
          <cell r="E102">
            <v>4413718</v>
          </cell>
          <cell r="F102">
            <v>0</v>
          </cell>
          <cell r="G102">
            <v>4413718</v>
          </cell>
          <cell r="H102">
            <v>0</v>
          </cell>
          <cell r="I102">
            <v>0</v>
          </cell>
          <cell r="J102">
            <v>-4413718</v>
          </cell>
        </row>
        <row r="103">
          <cell r="A103" t="str">
            <v>1-2-02-05-008  DEP. ACUM. CONSTRUCCION LOS MORROS</v>
          </cell>
          <cell r="B103">
            <v>0</v>
          </cell>
          <cell r="C103">
            <v>2418934</v>
          </cell>
          <cell r="D103">
            <v>0</v>
          </cell>
          <cell r="E103">
            <v>2418934</v>
          </cell>
          <cell r="F103">
            <v>0</v>
          </cell>
          <cell r="G103">
            <v>2418934</v>
          </cell>
          <cell r="H103">
            <v>0</v>
          </cell>
          <cell r="I103">
            <v>0</v>
          </cell>
          <cell r="J103">
            <v>-2418934</v>
          </cell>
        </row>
        <row r="104">
          <cell r="A104" t="str">
            <v>1-2-02-05-009  DEP. ACUM. CONSTRUCCION TALCA COLIN</v>
          </cell>
          <cell r="B104">
            <v>0</v>
          </cell>
          <cell r="C104">
            <v>4189951</v>
          </cell>
          <cell r="D104">
            <v>0</v>
          </cell>
          <cell r="E104">
            <v>4189951</v>
          </cell>
          <cell r="F104">
            <v>0</v>
          </cell>
          <cell r="G104">
            <v>4189951</v>
          </cell>
          <cell r="H104">
            <v>0</v>
          </cell>
          <cell r="I104">
            <v>0</v>
          </cell>
          <cell r="J104">
            <v>-4189951</v>
          </cell>
        </row>
        <row r="105">
          <cell r="A105" t="str">
            <v>1-2-02-05-010  DEP. ACUM. CONSTRUCCION TALAGANTE</v>
          </cell>
          <cell r="B105">
            <v>0</v>
          </cell>
          <cell r="C105">
            <v>1964950</v>
          </cell>
          <cell r="D105">
            <v>0</v>
          </cell>
          <cell r="E105">
            <v>1964950</v>
          </cell>
          <cell r="F105">
            <v>0</v>
          </cell>
          <cell r="G105">
            <v>1964950</v>
          </cell>
          <cell r="H105">
            <v>0</v>
          </cell>
          <cell r="I105">
            <v>0</v>
          </cell>
          <cell r="J105">
            <v>-1964950</v>
          </cell>
        </row>
        <row r="106">
          <cell r="A106" t="str">
            <v>1-2-02-05-011  DEP. ACUM. CONSTRUCCION J. ESPINOZA</v>
          </cell>
          <cell r="B106">
            <v>0</v>
          </cell>
          <cell r="C106">
            <v>1843618</v>
          </cell>
          <cell r="D106">
            <v>0</v>
          </cell>
          <cell r="E106">
            <v>1843618</v>
          </cell>
          <cell r="F106">
            <v>0</v>
          </cell>
          <cell r="G106">
            <v>1843618</v>
          </cell>
          <cell r="H106">
            <v>0</v>
          </cell>
          <cell r="I106">
            <v>0</v>
          </cell>
          <cell r="J106">
            <v>-1843618</v>
          </cell>
        </row>
        <row r="107">
          <cell r="A107" t="str">
            <v>1-2-02-05-019  DEPREC. ACUM. REÑACA NORTE</v>
          </cell>
          <cell r="B107">
            <v>0</v>
          </cell>
          <cell r="C107">
            <v>337009</v>
          </cell>
          <cell r="D107">
            <v>0</v>
          </cell>
          <cell r="E107">
            <v>337009</v>
          </cell>
          <cell r="F107">
            <v>0</v>
          </cell>
          <cell r="G107">
            <v>337009</v>
          </cell>
          <cell r="H107">
            <v>0</v>
          </cell>
          <cell r="I107">
            <v>0</v>
          </cell>
          <cell r="J107">
            <v>-337009</v>
          </cell>
        </row>
        <row r="108">
          <cell r="A108" t="str">
            <v>1-2-02-05-021  DEPRECACUM. PROY.GIMNASIO LINARES</v>
          </cell>
          <cell r="B108">
            <v>0</v>
          </cell>
          <cell r="C108">
            <v>2553231</v>
          </cell>
          <cell r="D108">
            <v>0</v>
          </cell>
          <cell r="E108">
            <v>2553231</v>
          </cell>
          <cell r="F108">
            <v>0</v>
          </cell>
          <cell r="G108">
            <v>2553231</v>
          </cell>
          <cell r="H108">
            <v>0</v>
          </cell>
          <cell r="I108">
            <v>0</v>
          </cell>
          <cell r="J108">
            <v>-2553231</v>
          </cell>
        </row>
        <row r="109">
          <cell r="A109" t="str">
            <v>1-2-02-05-027  DEP. ACUM. INM PELLUHUE</v>
          </cell>
          <cell r="B109">
            <v>0</v>
          </cell>
          <cell r="C109">
            <v>232908</v>
          </cell>
          <cell r="D109">
            <v>0</v>
          </cell>
          <cell r="E109">
            <v>232908</v>
          </cell>
          <cell r="F109">
            <v>0</v>
          </cell>
          <cell r="G109">
            <v>232908</v>
          </cell>
          <cell r="H109">
            <v>0</v>
          </cell>
          <cell r="I109">
            <v>0</v>
          </cell>
          <cell r="J109">
            <v>-232908</v>
          </cell>
        </row>
        <row r="110">
          <cell r="A110" t="str">
            <v>1-2-02-05-028  DEP. ACUM. INM. LOS MAITENES</v>
          </cell>
          <cell r="B110">
            <v>0</v>
          </cell>
          <cell r="C110">
            <v>2327999</v>
          </cell>
          <cell r="D110">
            <v>0</v>
          </cell>
          <cell r="E110">
            <v>2327999</v>
          </cell>
          <cell r="F110">
            <v>0</v>
          </cell>
          <cell r="G110">
            <v>2327999</v>
          </cell>
          <cell r="H110">
            <v>0</v>
          </cell>
          <cell r="I110">
            <v>0</v>
          </cell>
          <cell r="J110">
            <v>-2327999</v>
          </cell>
        </row>
        <row r="111">
          <cell r="A111" t="str">
            <v>1-2-02-05-030  DEP.ACUM. PROYECTO MULCHEN</v>
          </cell>
          <cell r="B111">
            <v>0</v>
          </cell>
          <cell r="C111">
            <v>4248299</v>
          </cell>
          <cell r="D111">
            <v>0</v>
          </cell>
          <cell r="E111">
            <v>4248299</v>
          </cell>
          <cell r="F111">
            <v>0</v>
          </cell>
          <cell r="G111">
            <v>4248299</v>
          </cell>
          <cell r="H111">
            <v>0</v>
          </cell>
          <cell r="I111">
            <v>0</v>
          </cell>
          <cell r="J111">
            <v>-4248299</v>
          </cell>
        </row>
        <row r="112">
          <cell r="A112" t="str">
            <v>1-2-02-05-603  DEP ACUMU EL TREBOL LINARES</v>
          </cell>
          <cell r="B112">
            <v>0</v>
          </cell>
          <cell r="C112">
            <v>2593220</v>
          </cell>
          <cell r="D112">
            <v>0</v>
          </cell>
          <cell r="E112">
            <v>2593220</v>
          </cell>
          <cell r="F112">
            <v>0</v>
          </cell>
          <cell r="G112">
            <v>2593220</v>
          </cell>
          <cell r="H112">
            <v>0</v>
          </cell>
          <cell r="I112">
            <v>0</v>
          </cell>
          <cell r="J112">
            <v>-2593220</v>
          </cell>
        </row>
        <row r="113">
          <cell r="A113" t="str">
            <v>1-2-02-06-001  DEP. ACUM. BIENES RAICES</v>
          </cell>
          <cell r="B113">
            <v>30068435</v>
          </cell>
          <cell r="C113">
            <v>3813407</v>
          </cell>
          <cell r="D113">
            <v>26255028</v>
          </cell>
          <cell r="E113">
            <v>0</v>
          </cell>
          <cell r="F113">
            <v>26255028</v>
          </cell>
          <cell r="G113">
            <v>0</v>
          </cell>
          <cell r="H113">
            <v>0</v>
          </cell>
          <cell r="I113">
            <v>0</v>
          </cell>
          <cell r="J113">
            <v>26255028</v>
          </cell>
        </row>
        <row r="114">
          <cell r="A114" t="str">
            <v>1-3-01-02-003  BOLETA GARANTIAS LOCATARIOS (ORDEN)</v>
          </cell>
          <cell r="B114">
            <v>69757530</v>
          </cell>
          <cell r="C114">
            <v>69609386</v>
          </cell>
          <cell r="D114">
            <v>148144</v>
          </cell>
          <cell r="E114">
            <v>0</v>
          </cell>
          <cell r="F114">
            <v>148144</v>
          </cell>
          <cell r="G114">
            <v>0</v>
          </cell>
          <cell r="H114">
            <v>0</v>
          </cell>
          <cell r="I114">
            <v>0</v>
          </cell>
          <cell r="J114">
            <v>148144</v>
          </cell>
        </row>
        <row r="115">
          <cell r="A115" t="str">
            <v>2-1-01-01-009  PRESTAMO  BCO INTERNACIONAL CP M$600</v>
          </cell>
          <cell r="B115">
            <v>29596674</v>
          </cell>
          <cell r="C115">
            <v>0</v>
          </cell>
          <cell r="D115">
            <v>29596674</v>
          </cell>
          <cell r="E115">
            <v>0</v>
          </cell>
          <cell r="F115">
            <v>29596674</v>
          </cell>
          <cell r="G115">
            <v>0</v>
          </cell>
          <cell r="H115">
            <v>0</v>
          </cell>
          <cell r="I115">
            <v>0</v>
          </cell>
          <cell r="J115">
            <v>-29596674</v>
          </cell>
        </row>
        <row r="116">
          <cell r="A116" t="str">
            <v>2-1-01-01-010  USO LINEA CRÉDITO BANCO SANTANDER</v>
          </cell>
          <cell r="B116">
            <v>721150298</v>
          </cell>
          <cell r="C116">
            <v>769374281</v>
          </cell>
          <cell r="D116">
            <v>0</v>
          </cell>
          <cell r="E116">
            <v>48223983</v>
          </cell>
          <cell r="F116">
            <v>0</v>
          </cell>
          <cell r="G116">
            <v>48223983</v>
          </cell>
          <cell r="H116">
            <v>0</v>
          </cell>
          <cell r="I116">
            <v>0</v>
          </cell>
          <cell r="J116">
            <v>48223983</v>
          </cell>
        </row>
        <row r="117">
          <cell r="A117" t="str">
            <v>2-1-01-01-011  USO LINEA CREDITO BANCO BCI</v>
          </cell>
          <cell r="B117">
            <v>68058143</v>
          </cell>
          <cell r="C117">
            <v>126596974</v>
          </cell>
          <cell r="D117">
            <v>0</v>
          </cell>
          <cell r="E117">
            <v>58538831</v>
          </cell>
          <cell r="F117">
            <v>0</v>
          </cell>
          <cell r="G117">
            <v>58538831</v>
          </cell>
          <cell r="H117">
            <v>0</v>
          </cell>
          <cell r="I117">
            <v>0</v>
          </cell>
          <cell r="J117">
            <v>58538831</v>
          </cell>
        </row>
        <row r="118">
          <cell r="A118" t="str">
            <v>2-1-01-01-014  PRESTAMO  BCO INTERNACIONAL CP M$1.000</v>
          </cell>
          <cell r="B118">
            <v>9769205</v>
          </cell>
          <cell r="C118">
            <v>9769205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2-1-01-01-015  USO LINEA CREDITO BANCO DE CHILE</v>
          </cell>
          <cell r="B119">
            <v>105020</v>
          </cell>
          <cell r="C119">
            <v>105020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2-1-01-02-001  OBLIG. LEASING 1 SUR 1990 C/PLAZO</v>
          </cell>
          <cell r="B120">
            <v>8136840</v>
          </cell>
          <cell r="C120">
            <v>8136840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</row>
        <row r="121">
          <cell r="A121" t="str">
            <v>2-1-01-02-002  OBLIG. LEASING SAN JAVIER C/PLAZO</v>
          </cell>
          <cell r="B121">
            <v>6996340</v>
          </cell>
          <cell r="C121">
            <v>6996340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</row>
        <row r="122">
          <cell r="A122" t="str">
            <v>2-1-01-02-003  OBLIG. LEASING COLIN 0240 TALCA</v>
          </cell>
          <cell r="B122">
            <v>13168117</v>
          </cell>
          <cell r="C122">
            <v>13168117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</row>
        <row r="123">
          <cell r="A123" t="str">
            <v>2-1-01-02-004  OBLIG. LEASING C. SATELITE C/PLAZO</v>
          </cell>
          <cell r="B123">
            <v>19359476</v>
          </cell>
          <cell r="C123">
            <v>19359476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</row>
        <row r="124">
          <cell r="A124" t="str">
            <v>2-1-01-02-005  OBLIG. LEASING 11 ORIENTE C/PLAZO</v>
          </cell>
          <cell r="B124">
            <v>6611844</v>
          </cell>
          <cell r="C124">
            <v>6083687</v>
          </cell>
          <cell r="D124">
            <v>528157</v>
          </cell>
          <cell r="E124">
            <v>0</v>
          </cell>
          <cell r="F124">
            <v>528157</v>
          </cell>
          <cell r="G124">
            <v>0</v>
          </cell>
          <cell r="H124">
            <v>0</v>
          </cell>
          <cell r="I124">
            <v>0</v>
          </cell>
          <cell r="J124">
            <v>-528157</v>
          </cell>
        </row>
        <row r="125">
          <cell r="A125" t="str">
            <v>2-1-01-02-006  OBLIG. LEASING MAIPU 556 C/PLAZO</v>
          </cell>
          <cell r="B125">
            <v>5851687</v>
          </cell>
          <cell r="C125">
            <v>5384251</v>
          </cell>
          <cell r="D125">
            <v>467436</v>
          </cell>
          <cell r="E125">
            <v>0</v>
          </cell>
          <cell r="F125">
            <v>467436</v>
          </cell>
          <cell r="G125">
            <v>0</v>
          </cell>
          <cell r="H125">
            <v>0</v>
          </cell>
          <cell r="I125">
            <v>0</v>
          </cell>
          <cell r="J125">
            <v>-467436</v>
          </cell>
        </row>
        <row r="126">
          <cell r="A126" t="str">
            <v>2-1-01-02-007  OBLIG. LEASING BRASIL 648 C/PLAZO</v>
          </cell>
          <cell r="B126">
            <v>4486294</v>
          </cell>
          <cell r="C126">
            <v>4127927</v>
          </cell>
          <cell r="D126">
            <v>358367</v>
          </cell>
          <cell r="E126">
            <v>0</v>
          </cell>
          <cell r="F126">
            <v>358367</v>
          </cell>
          <cell r="G126">
            <v>0</v>
          </cell>
          <cell r="H126">
            <v>0</v>
          </cell>
          <cell r="I126">
            <v>0</v>
          </cell>
          <cell r="J126">
            <v>-358367</v>
          </cell>
        </row>
        <row r="127">
          <cell r="A127" t="str">
            <v>2-1-01-02-008  OBLIG. LEASING VIAL 224 C/PLAZO</v>
          </cell>
          <cell r="B127">
            <v>5364047</v>
          </cell>
          <cell r="C127">
            <v>4935564</v>
          </cell>
          <cell r="D127">
            <v>428483</v>
          </cell>
          <cell r="E127">
            <v>0</v>
          </cell>
          <cell r="F127">
            <v>428483</v>
          </cell>
          <cell r="G127">
            <v>0</v>
          </cell>
          <cell r="H127">
            <v>0</v>
          </cell>
          <cell r="I127">
            <v>0</v>
          </cell>
          <cell r="J127">
            <v>-428483</v>
          </cell>
        </row>
        <row r="128">
          <cell r="A128" t="str">
            <v>2-1-01-02-009  OBLIG. LEASING TALCA COLIN C/PLAZO</v>
          </cell>
          <cell r="B128">
            <v>48533762</v>
          </cell>
          <cell r="C128">
            <v>44731658</v>
          </cell>
          <cell r="D128">
            <v>3802104</v>
          </cell>
          <cell r="E128">
            <v>0</v>
          </cell>
          <cell r="F128">
            <v>3802104</v>
          </cell>
          <cell r="G128">
            <v>0</v>
          </cell>
          <cell r="H128">
            <v>0</v>
          </cell>
          <cell r="I128">
            <v>0</v>
          </cell>
          <cell r="J128">
            <v>-3802104</v>
          </cell>
        </row>
        <row r="129">
          <cell r="A129" t="str">
            <v>2-1-01-02-010  OBLIG. HIPOTECARIO C/PLAZO</v>
          </cell>
          <cell r="B129">
            <v>15849365</v>
          </cell>
          <cell r="C129">
            <v>0</v>
          </cell>
          <cell r="D129">
            <v>15849365</v>
          </cell>
          <cell r="E129">
            <v>0</v>
          </cell>
          <cell r="F129">
            <v>15849365</v>
          </cell>
          <cell r="G129">
            <v>0</v>
          </cell>
          <cell r="H129">
            <v>0</v>
          </cell>
          <cell r="I129">
            <v>0</v>
          </cell>
          <cell r="J129">
            <v>-15849365</v>
          </cell>
        </row>
        <row r="130">
          <cell r="A130" t="str">
            <v>2-1-01-02-011  OBLIG.LEASING VALPO  C/P</v>
          </cell>
          <cell r="B130">
            <v>24733706</v>
          </cell>
          <cell r="C130">
            <v>25430266</v>
          </cell>
          <cell r="D130">
            <v>0</v>
          </cell>
          <cell r="E130">
            <v>696560</v>
          </cell>
          <cell r="F130">
            <v>0</v>
          </cell>
          <cell r="G130">
            <v>696560</v>
          </cell>
          <cell r="H130">
            <v>0</v>
          </cell>
          <cell r="I130">
            <v>0</v>
          </cell>
          <cell r="J130">
            <v>696560</v>
          </cell>
        </row>
        <row r="131">
          <cell r="A131" t="str">
            <v>2-1-01-02-012  OBLIG.LEASING CAUQUENES C/P</v>
          </cell>
          <cell r="B131">
            <v>9330444</v>
          </cell>
          <cell r="C131">
            <v>9621174</v>
          </cell>
          <cell r="D131">
            <v>0</v>
          </cell>
          <cell r="E131">
            <v>290730</v>
          </cell>
          <cell r="F131">
            <v>0</v>
          </cell>
          <cell r="G131">
            <v>290730</v>
          </cell>
          <cell r="H131">
            <v>0</v>
          </cell>
          <cell r="I131">
            <v>0</v>
          </cell>
          <cell r="J131">
            <v>290730</v>
          </cell>
        </row>
        <row r="132">
          <cell r="A132" t="str">
            <v>2-1-01-02-013  OBLIG. LEASING OUTLET C/P</v>
          </cell>
          <cell r="B132">
            <v>69082428</v>
          </cell>
          <cell r="C132">
            <v>72090236</v>
          </cell>
          <cell r="D132">
            <v>0</v>
          </cell>
          <cell r="E132">
            <v>3007808</v>
          </cell>
          <cell r="F132">
            <v>0</v>
          </cell>
          <cell r="G132">
            <v>3007808</v>
          </cell>
          <cell r="H132">
            <v>0</v>
          </cell>
          <cell r="I132">
            <v>0</v>
          </cell>
          <cell r="J132">
            <v>3007808</v>
          </cell>
        </row>
        <row r="133">
          <cell r="A133" t="str">
            <v>2-1-01-02-014  OBLIG HIPOTECARIO LOS MORRO CP</v>
          </cell>
          <cell r="B133">
            <v>18656151</v>
          </cell>
          <cell r="C133">
            <v>19516866</v>
          </cell>
          <cell r="D133">
            <v>0</v>
          </cell>
          <cell r="E133">
            <v>860715</v>
          </cell>
          <cell r="F133">
            <v>0</v>
          </cell>
          <cell r="G133">
            <v>860715</v>
          </cell>
          <cell r="H133">
            <v>0</v>
          </cell>
          <cell r="I133">
            <v>0</v>
          </cell>
          <cell r="J133">
            <v>860715</v>
          </cell>
        </row>
        <row r="134">
          <cell r="A134" t="str">
            <v>2-1-01-03-002  OBLIG LEASING VEHICULOS  CP 2</v>
          </cell>
          <cell r="B134">
            <v>3098277</v>
          </cell>
          <cell r="C134">
            <v>229322</v>
          </cell>
          <cell r="D134">
            <v>2868955</v>
          </cell>
          <cell r="E134">
            <v>0</v>
          </cell>
          <cell r="F134">
            <v>2868955</v>
          </cell>
          <cell r="G134">
            <v>0</v>
          </cell>
          <cell r="H134">
            <v>0</v>
          </cell>
          <cell r="I134">
            <v>0</v>
          </cell>
          <cell r="J134">
            <v>-2868955</v>
          </cell>
        </row>
        <row r="135">
          <cell r="A135" t="str">
            <v>2-1-01-03-140  DEVENGO INTERESES LEASING  C/P</v>
          </cell>
          <cell r="B135">
            <v>26837483</v>
          </cell>
          <cell r="C135">
            <v>33187647</v>
          </cell>
          <cell r="D135">
            <v>0</v>
          </cell>
          <cell r="E135">
            <v>6350164</v>
          </cell>
          <cell r="F135">
            <v>0</v>
          </cell>
          <cell r="G135">
            <v>6350164</v>
          </cell>
          <cell r="H135">
            <v>0</v>
          </cell>
          <cell r="I135">
            <v>0</v>
          </cell>
          <cell r="J135">
            <v>6350164</v>
          </cell>
        </row>
        <row r="136">
          <cell r="A136" t="str">
            <v>2-1-02-01-005  MUTUOS POR PAGAR</v>
          </cell>
          <cell r="B136">
            <v>20000000</v>
          </cell>
          <cell r="C136">
            <v>8374213</v>
          </cell>
          <cell r="D136">
            <v>11625787</v>
          </cell>
          <cell r="E136">
            <v>0</v>
          </cell>
          <cell r="F136">
            <v>11625787</v>
          </cell>
          <cell r="G136">
            <v>0</v>
          </cell>
          <cell r="H136">
            <v>0</v>
          </cell>
          <cell r="I136">
            <v>0</v>
          </cell>
          <cell r="J136">
            <v>-11625787</v>
          </cell>
        </row>
        <row r="137">
          <cell r="A137" t="str">
            <v>2-1-02-01-008  REMUNERACIONES POR PAGAR (2)</v>
          </cell>
          <cell r="B137">
            <v>130418178</v>
          </cell>
          <cell r="C137">
            <v>130418178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2-1-02-01-009  CUENTA POR PAGAR INVERSIONES NUEVA SANTA FIDELMIRA LIMITADA</v>
          </cell>
          <cell r="B138">
            <v>2280</v>
          </cell>
          <cell r="C138">
            <v>44912733</v>
          </cell>
          <cell r="D138">
            <v>0</v>
          </cell>
          <cell r="E138">
            <v>44910453</v>
          </cell>
          <cell r="F138">
            <v>0</v>
          </cell>
          <cell r="G138">
            <v>44910453</v>
          </cell>
          <cell r="H138">
            <v>0</v>
          </cell>
          <cell r="I138">
            <v>0</v>
          </cell>
          <cell r="J138">
            <v>44910453</v>
          </cell>
        </row>
        <row r="139">
          <cell r="A139" t="str">
            <v>2-1-02-01-010  Cuenta por pagar Constructora ERG</v>
          </cell>
          <cell r="B139">
            <v>0</v>
          </cell>
          <cell r="C139">
            <v>16666</v>
          </cell>
          <cell r="D139">
            <v>0</v>
          </cell>
          <cell r="E139">
            <v>16666</v>
          </cell>
          <cell r="F139">
            <v>0</v>
          </cell>
          <cell r="G139">
            <v>16666</v>
          </cell>
          <cell r="H139">
            <v>0</v>
          </cell>
          <cell r="I139">
            <v>0</v>
          </cell>
          <cell r="J139">
            <v>16666</v>
          </cell>
        </row>
        <row r="140">
          <cell r="A140" t="str">
            <v>2-1-03-01-002  GARANTIAS RECIBIDAS ARRENDATARIOS (UF)</v>
          </cell>
          <cell r="B140">
            <v>231482607</v>
          </cell>
          <cell r="C140">
            <v>199153879</v>
          </cell>
          <cell r="D140">
            <v>32328728</v>
          </cell>
          <cell r="E140">
            <v>0</v>
          </cell>
          <cell r="F140">
            <v>32328728</v>
          </cell>
          <cell r="G140">
            <v>0</v>
          </cell>
          <cell r="H140">
            <v>0</v>
          </cell>
          <cell r="I140">
            <v>0</v>
          </cell>
          <cell r="J140">
            <v>-32328728</v>
          </cell>
        </row>
        <row r="141">
          <cell r="A141" t="str">
            <v>2-1-03-01-008  CTA X PAGAR ISF DOLAR</v>
          </cell>
          <cell r="B141">
            <v>46359105</v>
          </cell>
          <cell r="C141">
            <v>0</v>
          </cell>
          <cell r="D141">
            <v>46359105</v>
          </cell>
          <cell r="E141">
            <v>0</v>
          </cell>
          <cell r="F141">
            <v>46359105</v>
          </cell>
          <cell r="G141">
            <v>0</v>
          </cell>
          <cell r="H141">
            <v>0</v>
          </cell>
          <cell r="I141">
            <v>0</v>
          </cell>
          <cell r="J141">
            <v>-46359105</v>
          </cell>
        </row>
        <row r="142">
          <cell r="A142" t="str">
            <v>2-1-03-01-009  BOLETA GARANTIAS LOCATARIOS (ORDEN)</v>
          </cell>
          <cell r="B142">
            <v>69609386</v>
          </cell>
          <cell r="C142">
            <v>69757530</v>
          </cell>
          <cell r="D142">
            <v>0</v>
          </cell>
          <cell r="E142">
            <v>148144</v>
          </cell>
          <cell r="F142">
            <v>0</v>
          </cell>
          <cell r="G142">
            <v>148144</v>
          </cell>
          <cell r="H142">
            <v>0</v>
          </cell>
          <cell r="I142">
            <v>0</v>
          </cell>
          <cell r="J142">
            <v>148144</v>
          </cell>
        </row>
        <row r="143">
          <cell r="A143" t="str">
            <v>2-1-03-02-001  ANTICIPO DE CLIENTES</v>
          </cell>
          <cell r="B143">
            <v>5958232</v>
          </cell>
          <cell r="C143">
            <v>5649120</v>
          </cell>
          <cell r="D143">
            <v>309112</v>
          </cell>
          <cell r="E143">
            <v>0</v>
          </cell>
          <cell r="F143">
            <v>309112</v>
          </cell>
          <cell r="G143">
            <v>0</v>
          </cell>
          <cell r="H143">
            <v>0</v>
          </cell>
          <cell r="I143">
            <v>0</v>
          </cell>
          <cell r="J143">
            <v>-309112</v>
          </cell>
        </row>
        <row r="144">
          <cell r="A144" t="str">
            <v>2-1-03-02-004  ANTICIPO RECIBIDO PROMESA COMPRAVENTA</v>
          </cell>
          <cell r="B144">
            <v>0</v>
          </cell>
          <cell r="C144">
            <v>117225637</v>
          </cell>
          <cell r="D144">
            <v>0</v>
          </cell>
          <cell r="E144">
            <v>117225637</v>
          </cell>
          <cell r="F144">
            <v>0</v>
          </cell>
          <cell r="G144">
            <v>117225637</v>
          </cell>
          <cell r="H144">
            <v>0</v>
          </cell>
          <cell r="I144">
            <v>0</v>
          </cell>
          <cell r="J144">
            <v>117225637</v>
          </cell>
        </row>
        <row r="145">
          <cell r="A145" t="str">
            <v>2-1-04-01-001  IVA DEBITO FISCAL</v>
          </cell>
          <cell r="B145">
            <v>152307575</v>
          </cell>
          <cell r="C145">
            <v>152307575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2-1-04-01-002  IMPUESTO UNICO</v>
          </cell>
          <cell r="B146">
            <v>56827228</v>
          </cell>
          <cell r="C146">
            <v>67551055</v>
          </cell>
          <cell r="D146">
            <v>0</v>
          </cell>
          <cell r="E146">
            <v>10723827</v>
          </cell>
          <cell r="F146">
            <v>0</v>
          </cell>
          <cell r="G146">
            <v>10723827</v>
          </cell>
          <cell r="H146">
            <v>0</v>
          </cell>
          <cell r="I146">
            <v>0</v>
          </cell>
          <cell r="J146">
            <v>10723827</v>
          </cell>
        </row>
        <row r="147">
          <cell r="A147" t="str">
            <v>2-1-04-01-003  IMPUESTO 2° CATEGORIA</v>
          </cell>
          <cell r="B147">
            <v>1348668</v>
          </cell>
          <cell r="C147">
            <v>2123853</v>
          </cell>
          <cell r="D147">
            <v>0</v>
          </cell>
          <cell r="E147">
            <v>775185</v>
          </cell>
          <cell r="F147">
            <v>0</v>
          </cell>
          <cell r="G147">
            <v>775185</v>
          </cell>
          <cell r="H147">
            <v>0</v>
          </cell>
          <cell r="I147">
            <v>0</v>
          </cell>
          <cell r="J147">
            <v>775185</v>
          </cell>
        </row>
        <row r="148">
          <cell r="A148" t="str">
            <v>2-1-04-01-004  IMPUESTOS POR PAGAR</v>
          </cell>
          <cell r="B148">
            <v>21380992</v>
          </cell>
          <cell r="C148">
            <v>73433206</v>
          </cell>
          <cell r="D148">
            <v>0</v>
          </cell>
          <cell r="E148">
            <v>52052214</v>
          </cell>
          <cell r="F148">
            <v>0</v>
          </cell>
          <cell r="G148">
            <v>52052214</v>
          </cell>
          <cell r="H148">
            <v>0</v>
          </cell>
          <cell r="I148">
            <v>0</v>
          </cell>
          <cell r="J148">
            <v>52052214</v>
          </cell>
        </row>
        <row r="149">
          <cell r="A149" t="str">
            <v>2-1-04-01-005  IMPOSICIONES POR PAGAR</v>
          </cell>
          <cell r="B149">
            <v>11879562</v>
          </cell>
          <cell r="C149">
            <v>13700813</v>
          </cell>
          <cell r="D149">
            <v>0</v>
          </cell>
          <cell r="E149">
            <v>1821251</v>
          </cell>
          <cell r="F149">
            <v>0</v>
          </cell>
          <cell r="G149">
            <v>1821251</v>
          </cell>
          <cell r="H149">
            <v>0</v>
          </cell>
          <cell r="I149">
            <v>0</v>
          </cell>
          <cell r="J149">
            <v>1821251</v>
          </cell>
        </row>
        <row r="150">
          <cell r="A150" t="str">
            <v>2-1-05-01-001  PROVISIONES VARIAS</v>
          </cell>
          <cell r="B150">
            <v>0</v>
          </cell>
          <cell r="C150">
            <v>99072185</v>
          </cell>
          <cell r="D150">
            <v>0</v>
          </cell>
          <cell r="E150">
            <v>99072185</v>
          </cell>
          <cell r="F150">
            <v>0</v>
          </cell>
          <cell r="G150">
            <v>99072185</v>
          </cell>
          <cell r="H150">
            <v>0</v>
          </cell>
          <cell r="I150">
            <v>0</v>
          </cell>
          <cell r="J150">
            <v>99072185</v>
          </cell>
        </row>
        <row r="151">
          <cell r="A151" t="str">
            <v>2-1-05-01-003  PROVISIÓN VACACIONES</v>
          </cell>
          <cell r="B151">
            <v>0</v>
          </cell>
          <cell r="C151">
            <v>108607999</v>
          </cell>
          <cell r="D151">
            <v>0</v>
          </cell>
          <cell r="E151">
            <v>108607999</v>
          </cell>
          <cell r="F151">
            <v>0</v>
          </cell>
          <cell r="G151">
            <v>108607999</v>
          </cell>
          <cell r="H151">
            <v>0</v>
          </cell>
          <cell r="I151">
            <v>0</v>
          </cell>
          <cell r="J151">
            <v>108607999</v>
          </cell>
        </row>
        <row r="152">
          <cell r="A152" t="str">
            <v>2-1-06-01-001  PROVEEDORES 2</v>
          </cell>
          <cell r="B152">
            <v>1251693905</v>
          </cell>
          <cell r="C152">
            <v>1049620486</v>
          </cell>
          <cell r="D152">
            <v>202073419</v>
          </cell>
          <cell r="E152">
            <v>0</v>
          </cell>
          <cell r="F152">
            <v>202073419</v>
          </cell>
          <cell r="G152">
            <v>0</v>
          </cell>
          <cell r="H152">
            <v>0</v>
          </cell>
          <cell r="I152">
            <v>0</v>
          </cell>
          <cell r="J152">
            <v>-202073419</v>
          </cell>
        </row>
        <row r="153">
          <cell r="A153" t="str">
            <v>2-1-06-01-002  HONORARIOS POR PAGAR 2</v>
          </cell>
          <cell r="B153">
            <v>13003414</v>
          </cell>
          <cell r="C153">
            <v>12801914</v>
          </cell>
          <cell r="D153">
            <v>201500</v>
          </cell>
          <cell r="E153">
            <v>0</v>
          </cell>
          <cell r="F153">
            <v>201500</v>
          </cell>
          <cell r="G153">
            <v>0</v>
          </cell>
          <cell r="H153">
            <v>0</v>
          </cell>
          <cell r="I153">
            <v>0</v>
          </cell>
          <cell r="J153">
            <v>-201500</v>
          </cell>
        </row>
        <row r="154">
          <cell r="A154" t="str">
            <v>2-1-06-01-006  CHEQUES GIRADOS POR PAGAR 2</v>
          </cell>
          <cell r="B154">
            <v>755254385</v>
          </cell>
          <cell r="C154">
            <v>706876902</v>
          </cell>
          <cell r="D154">
            <v>48377483</v>
          </cell>
          <cell r="E154">
            <v>0</v>
          </cell>
          <cell r="F154">
            <v>48377483</v>
          </cell>
          <cell r="G154">
            <v>0</v>
          </cell>
          <cell r="H154">
            <v>0</v>
          </cell>
          <cell r="I154">
            <v>0</v>
          </cell>
          <cell r="J154">
            <v>-48377483</v>
          </cell>
        </row>
        <row r="155">
          <cell r="A155" t="str">
            <v>2-1-06-01-007  SEGURO SALUD COMPLEMENTARIO</v>
          </cell>
          <cell r="B155">
            <v>297960</v>
          </cell>
          <cell r="C155">
            <v>297960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</row>
        <row r="156">
          <cell r="A156" t="str">
            <v>2-2-01-01-005  PRESTAMO  BCO INTERNACIONAL LP M$1.000</v>
          </cell>
          <cell r="B156">
            <v>15312329</v>
          </cell>
          <cell r="C156">
            <v>0</v>
          </cell>
          <cell r="D156">
            <v>15312329</v>
          </cell>
          <cell r="E156">
            <v>0</v>
          </cell>
          <cell r="F156">
            <v>15312329</v>
          </cell>
          <cell r="G156">
            <v>0</v>
          </cell>
          <cell r="H156">
            <v>0</v>
          </cell>
          <cell r="I156">
            <v>0</v>
          </cell>
          <cell r="J156">
            <v>-15312329</v>
          </cell>
        </row>
        <row r="157">
          <cell r="A157" t="str">
            <v>2-2-01-02-005  OBLIG. LEASING 11 ORIENTE 1550 L/PLAZO</v>
          </cell>
          <cell r="B157">
            <v>6696678</v>
          </cell>
          <cell r="C157">
            <v>0</v>
          </cell>
          <cell r="D157">
            <v>6696678</v>
          </cell>
          <cell r="E157">
            <v>0</v>
          </cell>
          <cell r="F157">
            <v>6696678</v>
          </cell>
          <cell r="G157">
            <v>0</v>
          </cell>
          <cell r="H157">
            <v>0</v>
          </cell>
          <cell r="I157">
            <v>0</v>
          </cell>
          <cell r="J157">
            <v>-6696678</v>
          </cell>
        </row>
        <row r="158">
          <cell r="A158" t="str">
            <v>2-2-01-02-006  OBLIG. LEASING MAIPU 556 L/PLAZO</v>
          </cell>
          <cell r="B158">
            <v>5926767</v>
          </cell>
          <cell r="C158">
            <v>0</v>
          </cell>
          <cell r="D158">
            <v>5926767</v>
          </cell>
          <cell r="E158">
            <v>0</v>
          </cell>
          <cell r="F158">
            <v>5926767</v>
          </cell>
          <cell r="G158">
            <v>0</v>
          </cell>
          <cell r="H158">
            <v>0</v>
          </cell>
          <cell r="I158">
            <v>0</v>
          </cell>
          <cell r="J158">
            <v>-5926767</v>
          </cell>
        </row>
        <row r="159">
          <cell r="A159" t="str">
            <v>2-2-01-02-007  OBLIG. LEASING BRASIL 648 L/PLAZO</v>
          </cell>
          <cell r="B159">
            <v>4543856</v>
          </cell>
          <cell r="C159">
            <v>0</v>
          </cell>
          <cell r="D159">
            <v>4543856</v>
          </cell>
          <cell r="E159">
            <v>0</v>
          </cell>
          <cell r="F159">
            <v>4543856</v>
          </cell>
          <cell r="G159">
            <v>0</v>
          </cell>
          <cell r="H159">
            <v>0</v>
          </cell>
          <cell r="I159">
            <v>0</v>
          </cell>
          <cell r="J159">
            <v>-4543856</v>
          </cell>
        </row>
        <row r="160">
          <cell r="A160" t="str">
            <v>2-2-01-02-008  OBLIG. LEASING VIAL 224 L/PLAZO</v>
          </cell>
          <cell r="B160">
            <v>5432871</v>
          </cell>
          <cell r="C160">
            <v>0</v>
          </cell>
          <cell r="D160">
            <v>5432871</v>
          </cell>
          <cell r="E160">
            <v>0</v>
          </cell>
          <cell r="F160">
            <v>5432871</v>
          </cell>
          <cell r="G160">
            <v>0</v>
          </cell>
          <cell r="H160">
            <v>0</v>
          </cell>
          <cell r="I160">
            <v>0</v>
          </cell>
          <cell r="J160">
            <v>-5432871</v>
          </cell>
        </row>
        <row r="161">
          <cell r="A161" t="str">
            <v>2-2-01-02-009  OBLIG. LEASING TALCA COLIN L/PLAZO</v>
          </cell>
          <cell r="B161">
            <v>52893205</v>
          </cell>
          <cell r="C161">
            <v>0</v>
          </cell>
          <cell r="D161">
            <v>52893205</v>
          </cell>
          <cell r="E161">
            <v>0</v>
          </cell>
          <cell r="F161">
            <v>52893205</v>
          </cell>
          <cell r="G161">
            <v>0</v>
          </cell>
          <cell r="H161">
            <v>0</v>
          </cell>
          <cell r="I161">
            <v>0</v>
          </cell>
          <cell r="J161">
            <v>-52893205</v>
          </cell>
        </row>
        <row r="162">
          <cell r="A162" t="str">
            <v>2-2-01-02-010  OBLIG.LEASING  VALPO L/P</v>
          </cell>
          <cell r="B162">
            <v>22775258</v>
          </cell>
          <cell r="C162">
            <v>0</v>
          </cell>
          <cell r="D162">
            <v>22775258</v>
          </cell>
          <cell r="E162">
            <v>0</v>
          </cell>
          <cell r="F162">
            <v>22775258</v>
          </cell>
          <cell r="G162">
            <v>0</v>
          </cell>
          <cell r="H162">
            <v>0</v>
          </cell>
          <cell r="I162">
            <v>0</v>
          </cell>
          <cell r="J162">
            <v>-22775258</v>
          </cell>
        </row>
        <row r="163">
          <cell r="A163" t="str">
            <v>2-2-01-02-011  OBLIG.LEASING CAUQUENES  L/P</v>
          </cell>
          <cell r="B163">
            <v>9589935</v>
          </cell>
          <cell r="C163">
            <v>0</v>
          </cell>
          <cell r="D163">
            <v>9589935</v>
          </cell>
          <cell r="E163">
            <v>0</v>
          </cell>
          <cell r="F163">
            <v>9589935</v>
          </cell>
          <cell r="G163">
            <v>0</v>
          </cell>
          <cell r="H163">
            <v>0</v>
          </cell>
          <cell r="I163">
            <v>0</v>
          </cell>
          <cell r="J163">
            <v>-9589935</v>
          </cell>
        </row>
        <row r="164">
          <cell r="A164" t="str">
            <v>2-2-01-02-012  OBLIGAC. LEASING OUTLET L/P</v>
          </cell>
          <cell r="B164">
            <v>75035077</v>
          </cell>
          <cell r="C164">
            <v>0</v>
          </cell>
          <cell r="D164">
            <v>75035077</v>
          </cell>
          <cell r="E164">
            <v>0</v>
          </cell>
          <cell r="F164">
            <v>75035077</v>
          </cell>
          <cell r="G164">
            <v>0</v>
          </cell>
          <cell r="H164">
            <v>0</v>
          </cell>
          <cell r="I164">
            <v>0</v>
          </cell>
          <cell r="J164">
            <v>-75035077</v>
          </cell>
        </row>
        <row r="165">
          <cell r="A165" t="str">
            <v>2-2-01-02-013  OBLIG LEASING VEHICULOS LP</v>
          </cell>
          <cell r="B165">
            <v>719022</v>
          </cell>
          <cell r="C165">
            <v>0</v>
          </cell>
          <cell r="D165">
            <v>719022</v>
          </cell>
          <cell r="E165">
            <v>0</v>
          </cell>
          <cell r="F165">
            <v>719022</v>
          </cell>
          <cell r="G165">
            <v>0</v>
          </cell>
          <cell r="H165">
            <v>0</v>
          </cell>
          <cell r="I165">
            <v>0</v>
          </cell>
          <cell r="J165">
            <v>-719022</v>
          </cell>
        </row>
        <row r="166">
          <cell r="A166" t="str">
            <v>2-2-01-02-014  OBLIG HIPOTECARIO LOS MORRO LP</v>
          </cell>
          <cell r="B166">
            <v>23373849</v>
          </cell>
          <cell r="C166">
            <v>0</v>
          </cell>
          <cell r="D166">
            <v>23373849</v>
          </cell>
          <cell r="E166">
            <v>0</v>
          </cell>
          <cell r="F166">
            <v>23373849</v>
          </cell>
          <cell r="G166">
            <v>0</v>
          </cell>
          <cell r="H166">
            <v>0</v>
          </cell>
          <cell r="I166">
            <v>0</v>
          </cell>
          <cell r="J166">
            <v>-23373849</v>
          </cell>
        </row>
        <row r="167">
          <cell r="A167" t="str">
            <v>3-2-01-01-002  RESULTADOS ACUMULADOS</v>
          </cell>
          <cell r="B167">
            <v>375793846</v>
          </cell>
          <cell r="C167">
            <v>1185170007</v>
          </cell>
          <cell r="D167">
            <v>0</v>
          </cell>
          <cell r="E167">
            <v>809376161</v>
          </cell>
          <cell r="F167">
            <v>0</v>
          </cell>
          <cell r="G167">
            <v>809376161</v>
          </cell>
          <cell r="H167">
            <v>0</v>
          </cell>
          <cell r="I167">
            <v>0</v>
          </cell>
          <cell r="J167">
            <v>809376161</v>
          </cell>
        </row>
        <row r="168">
          <cell r="A168" t="str">
            <v>4-1-01-01-001  ARRIENDO FIJO</v>
          </cell>
          <cell r="B168">
            <v>0</v>
          </cell>
          <cell r="C168">
            <v>769483286</v>
          </cell>
          <cell r="D168">
            <v>0</v>
          </cell>
          <cell r="E168">
            <v>769483286</v>
          </cell>
          <cell r="F168">
            <v>0</v>
          </cell>
          <cell r="G168">
            <v>0</v>
          </cell>
          <cell r="H168">
            <v>0</v>
          </cell>
          <cell r="I168">
            <v>769483286</v>
          </cell>
          <cell r="J168">
            <v>769483286</v>
          </cell>
        </row>
        <row r="169">
          <cell r="A169" t="str">
            <v>4-1-01-01-002  ARRIENDO VARIABLE</v>
          </cell>
          <cell r="B169">
            <v>112345760</v>
          </cell>
          <cell r="C169">
            <v>299517792</v>
          </cell>
          <cell r="D169">
            <v>0</v>
          </cell>
          <cell r="E169">
            <v>187172032</v>
          </cell>
          <cell r="F169">
            <v>0</v>
          </cell>
          <cell r="G169">
            <v>0</v>
          </cell>
          <cell r="H169">
            <v>0</v>
          </cell>
          <cell r="I169">
            <v>187172032</v>
          </cell>
          <cell r="J169">
            <v>187172032</v>
          </cell>
        </row>
        <row r="170">
          <cell r="A170" t="str">
            <v>4-1-01-01-005  CONSUMOS DE AGUAS</v>
          </cell>
          <cell r="B170">
            <v>88936</v>
          </cell>
          <cell r="C170">
            <v>7632067</v>
          </cell>
          <cell r="D170">
            <v>0</v>
          </cell>
          <cell r="E170">
            <v>7543131</v>
          </cell>
          <cell r="F170">
            <v>0</v>
          </cell>
          <cell r="G170">
            <v>0</v>
          </cell>
          <cell r="H170">
            <v>0</v>
          </cell>
          <cell r="I170">
            <v>7543131</v>
          </cell>
          <cell r="J170">
            <v>7543131</v>
          </cell>
        </row>
        <row r="171">
          <cell r="A171" t="str">
            <v>4-1-01-01-006  CONSUMOS DE LUZ</v>
          </cell>
          <cell r="B171">
            <v>263787</v>
          </cell>
          <cell r="C171">
            <v>115551340</v>
          </cell>
          <cell r="D171">
            <v>0</v>
          </cell>
          <cell r="E171">
            <v>115287553</v>
          </cell>
          <cell r="F171">
            <v>0</v>
          </cell>
          <cell r="G171">
            <v>0</v>
          </cell>
          <cell r="H171">
            <v>0</v>
          </cell>
          <cell r="I171">
            <v>115287553</v>
          </cell>
          <cell r="J171">
            <v>115287553</v>
          </cell>
        </row>
        <row r="172">
          <cell r="A172" t="str">
            <v>4-1-01-01-007  CONSUMOS DE GAS</v>
          </cell>
          <cell r="B172">
            <v>0</v>
          </cell>
          <cell r="C172">
            <v>1844571</v>
          </cell>
          <cell r="D172">
            <v>0</v>
          </cell>
          <cell r="E172">
            <v>1844571</v>
          </cell>
          <cell r="F172">
            <v>0</v>
          </cell>
          <cell r="G172">
            <v>0</v>
          </cell>
          <cell r="H172">
            <v>0</v>
          </cell>
          <cell r="I172">
            <v>1844571</v>
          </cell>
          <cell r="J172">
            <v>1844571</v>
          </cell>
        </row>
        <row r="173">
          <cell r="A173" t="str">
            <v>4-1-01-01-008  GASTOS COMUNES</v>
          </cell>
          <cell r="B173">
            <v>82748924</v>
          </cell>
          <cell r="C173">
            <v>173332079</v>
          </cell>
          <cell r="D173">
            <v>0</v>
          </cell>
          <cell r="E173">
            <v>90583155</v>
          </cell>
          <cell r="F173">
            <v>0</v>
          </cell>
          <cell r="G173">
            <v>0</v>
          </cell>
          <cell r="H173">
            <v>0</v>
          </cell>
          <cell r="I173">
            <v>90583155</v>
          </cell>
          <cell r="J173">
            <v>90583155</v>
          </cell>
        </row>
        <row r="174">
          <cell r="A174" t="str">
            <v>4-1-01-01-013  VARIOS</v>
          </cell>
          <cell r="B174">
            <v>196</v>
          </cell>
          <cell r="C174">
            <v>2897394</v>
          </cell>
          <cell r="D174">
            <v>0</v>
          </cell>
          <cell r="E174">
            <v>2897198</v>
          </cell>
          <cell r="F174">
            <v>0</v>
          </cell>
          <cell r="G174">
            <v>0</v>
          </cell>
          <cell r="H174">
            <v>0</v>
          </cell>
          <cell r="I174">
            <v>2897198</v>
          </cell>
          <cell r="J174">
            <v>2897198</v>
          </cell>
        </row>
        <row r="175">
          <cell r="A175" t="str">
            <v>4-1-01-01-015  INGRESO VARIABLE FONDO PROMOCIÓN</v>
          </cell>
          <cell r="B175">
            <v>0</v>
          </cell>
          <cell r="C175">
            <v>1170879</v>
          </cell>
          <cell r="D175">
            <v>0</v>
          </cell>
          <cell r="E175">
            <v>1170879</v>
          </cell>
          <cell r="F175">
            <v>0</v>
          </cell>
          <cell r="G175">
            <v>0</v>
          </cell>
          <cell r="H175">
            <v>0</v>
          </cell>
          <cell r="I175">
            <v>1170879</v>
          </cell>
          <cell r="J175">
            <v>1170879</v>
          </cell>
        </row>
        <row r="176">
          <cell r="A176" t="str">
            <v>4-2-01-01-003  DIVIDENDOS RIACHUELO</v>
          </cell>
          <cell r="B176">
            <v>0</v>
          </cell>
          <cell r="C176">
            <v>10000000</v>
          </cell>
          <cell r="D176">
            <v>0</v>
          </cell>
          <cell r="E176">
            <v>10000000</v>
          </cell>
          <cell r="F176">
            <v>0</v>
          </cell>
          <cell r="G176">
            <v>0</v>
          </cell>
          <cell r="H176">
            <v>0</v>
          </cell>
          <cell r="I176">
            <v>10000000</v>
          </cell>
          <cell r="J176">
            <v>10000000</v>
          </cell>
        </row>
        <row r="177">
          <cell r="A177" t="str">
            <v>4-2-01-01-005  INTERESES DE PAGARE</v>
          </cell>
          <cell r="B177">
            <v>0</v>
          </cell>
          <cell r="C177">
            <v>6303059</v>
          </cell>
          <cell r="D177">
            <v>0</v>
          </cell>
          <cell r="E177">
            <v>6303059</v>
          </cell>
          <cell r="F177">
            <v>0</v>
          </cell>
          <cell r="G177">
            <v>0</v>
          </cell>
          <cell r="H177">
            <v>0</v>
          </cell>
          <cell r="I177">
            <v>6303059</v>
          </cell>
          <cell r="J177">
            <v>6303059</v>
          </cell>
        </row>
        <row r="178">
          <cell r="A178" t="str">
            <v>4-2-01-01-006  INTERESES DAP US$ BCI</v>
          </cell>
          <cell r="B178">
            <v>0</v>
          </cell>
          <cell r="C178">
            <v>681636</v>
          </cell>
          <cell r="D178">
            <v>0</v>
          </cell>
          <cell r="E178">
            <v>681636</v>
          </cell>
          <cell r="F178">
            <v>0</v>
          </cell>
          <cell r="G178">
            <v>0</v>
          </cell>
          <cell r="H178">
            <v>0</v>
          </cell>
          <cell r="I178">
            <v>681636</v>
          </cell>
          <cell r="J178">
            <v>681636</v>
          </cell>
        </row>
        <row r="179">
          <cell r="A179" t="str">
            <v>4-2-01-01-011  DIVIDENDO ASSET SANTANDER</v>
          </cell>
          <cell r="B179">
            <v>0</v>
          </cell>
          <cell r="C179">
            <v>5959010</v>
          </cell>
          <cell r="D179">
            <v>0</v>
          </cell>
          <cell r="E179">
            <v>5959010</v>
          </cell>
          <cell r="F179">
            <v>0</v>
          </cell>
          <cell r="G179">
            <v>0</v>
          </cell>
          <cell r="H179">
            <v>0</v>
          </cell>
          <cell r="I179">
            <v>5959010</v>
          </cell>
          <cell r="J179">
            <v>5959010</v>
          </cell>
        </row>
        <row r="180">
          <cell r="A180" t="str">
            <v>4-2-01-01-012  DIVIDENDO BCI ASSET</v>
          </cell>
          <cell r="B180">
            <v>0</v>
          </cell>
          <cell r="C180">
            <v>2171546</v>
          </cell>
          <cell r="D180">
            <v>0</v>
          </cell>
          <cell r="E180">
            <v>2171546</v>
          </cell>
          <cell r="F180">
            <v>0</v>
          </cell>
          <cell r="G180">
            <v>0</v>
          </cell>
          <cell r="H180">
            <v>0</v>
          </cell>
          <cell r="I180">
            <v>2171546</v>
          </cell>
          <cell r="J180">
            <v>2171546</v>
          </cell>
        </row>
        <row r="181">
          <cell r="A181" t="str">
            <v>4-2-01-02-008  ARQUITEC Y HABILITACION  LOCALES</v>
          </cell>
          <cell r="B181">
            <v>0</v>
          </cell>
          <cell r="C181">
            <v>1583588</v>
          </cell>
          <cell r="D181">
            <v>0</v>
          </cell>
          <cell r="E181">
            <v>1583588</v>
          </cell>
          <cell r="F181">
            <v>0</v>
          </cell>
          <cell r="G181">
            <v>0</v>
          </cell>
          <cell r="H181">
            <v>0</v>
          </cell>
          <cell r="I181">
            <v>1583588</v>
          </cell>
          <cell r="J181">
            <v>1583588</v>
          </cell>
        </row>
        <row r="182">
          <cell r="A182" t="str">
            <v>4-2-01-02-009  INGRESOS POR INTERESES MUTUOS EWA</v>
          </cell>
          <cell r="B182">
            <v>0</v>
          </cell>
          <cell r="C182">
            <v>255820</v>
          </cell>
          <cell r="D182">
            <v>0</v>
          </cell>
          <cell r="E182">
            <v>255820</v>
          </cell>
          <cell r="F182">
            <v>0</v>
          </cell>
          <cell r="G182">
            <v>0</v>
          </cell>
          <cell r="H182">
            <v>0</v>
          </cell>
          <cell r="I182">
            <v>255820</v>
          </cell>
          <cell r="J182">
            <v>255820</v>
          </cell>
        </row>
        <row r="183">
          <cell r="A183" t="str">
            <v>5-1-01-01-001  SERVICIOS DE GUARDIAS</v>
          </cell>
          <cell r="B183">
            <v>67592565</v>
          </cell>
          <cell r="C183">
            <v>0</v>
          </cell>
          <cell r="D183">
            <v>67592565</v>
          </cell>
          <cell r="E183">
            <v>0</v>
          </cell>
          <cell r="F183">
            <v>0</v>
          </cell>
          <cell r="G183">
            <v>0</v>
          </cell>
          <cell r="H183">
            <v>67592565</v>
          </cell>
          <cell r="I183">
            <v>0</v>
          </cell>
          <cell r="J183">
            <v>-67592565</v>
          </cell>
        </row>
        <row r="184">
          <cell r="A184" t="str">
            <v>5-1-01-01-005  ARTICULOS DE SEGURIDAD</v>
          </cell>
          <cell r="B184">
            <v>75927</v>
          </cell>
          <cell r="C184">
            <v>0</v>
          </cell>
          <cell r="D184">
            <v>75927</v>
          </cell>
          <cell r="E184">
            <v>0</v>
          </cell>
          <cell r="F184">
            <v>0</v>
          </cell>
          <cell r="G184">
            <v>0</v>
          </cell>
          <cell r="H184">
            <v>75927</v>
          </cell>
          <cell r="I184">
            <v>0</v>
          </cell>
          <cell r="J184">
            <v>-75927</v>
          </cell>
        </row>
        <row r="185">
          <cell r="A185" t="str">
            <v>5-1-01-02-002  INSUMOS BANOS</v>
          </cell>
          <cell r="B185">
            <v>64945</v>
          </cell>
          <cell r="C185">
            <v>0</v>
          </cell>
          <cell r="D185">
            <v>64945</v>
          </cell>
          <cell r="E185">
            <v>0</v>
          </cell>
          <cell r="F185">
            <v>0</v>
          </cell>
          <cell r="G185">
            <v>0</v>
          </cell>
          <cell r="H185">
            <v>64945</v>
          </cell>
          <cell r="I185">
            <v>0</v>
          </cell>
          <cell r="J185">
            <v>-64945</v>
          </cell>
        </row>
        <row r="186">
          <cell r="A186" t="str">
            <v>5-1-01-02-003  RETIRO BASURA O ESCOMBROS</v>
          </cell>
          <cell r="B186">
            <v>1094260</v>
          </cell>
          <cell r="C186">
            <v>0</v>
          </cell>
          <cell r="D186">
            <v>1094260</v>
          </cell>
          <cell r="E186">
            <v>0</v>
          </cell>
          <cell r="F186">
            <v>0</v>
          </cell>
          <cell r="G186">
            <v>0</v>
          </cell>
          <cell r="H186">
            <v>1094260</v>
          </cell>
          <cell r="I186">
            <v>0</v>
          </cell>
          <cell r="J186">
            <v>-1094260</v>
          </cell>
        </row>
        <row r="187">
          <cell r="A187" t="str">
            <v>5-1-01-03-001  SERVICIOS DE JARDINES Y PAISAJISMO</v>
          </cell>
          <cell r="B187">
            <v>2524497</v>
          </cell>
          <cell r="C187">
            <v>160000</v>
          </cell>
          <cell r="D187">
            <v>2364497</v>
          </cell>
          <cell r="E187">
            <v>0</v>
          </cell>
          <cell r="F187">
            <v>0</v>
          </cell>
          <cell r="G187">
            <v>0</v>
          </cell>
          <cell r="H187">
            <v>2364497</v>
          </cell>
          <cell r="I187">
            <v>0</v>
          </cell>
          <cell r="J187">
            <v>-2364497</v>
          </cell>
        </row>
        <row r="188">
          <cell r="A188" t="str">
            <v>5-1-01-03-003  CONTROL DE PLAGAS</v>
          </cell>
          <cell r="B188">
            <v>1716598</v>
          </cell>
          <cell r="C188">
            <v>0</v>
          </cell>
          <cell r="D188">
            <v>1716598</v>
          </cell>
          <cell r="E188">
            <v>0</v>
          </cell>
          <cell r="F188">
            <v>0</v>
          </cell>
          <cell r="G188">
            <v>0</v>
          </cell>
          <cell r="H188">
            <v>1716598</v>
          </cell>
          <cell r="I188">
            <v>0</v>
          </cell>
          <cell r="J188">
            <v>-1716598</v>
          </cell>
        </row>
        <row r="189">
          <cell r="A189" t="str">
            <v>5-1-01-04-001  MANTENCION TRANSPORTE VERTICAL</v>
          </cell>
          <cell r="B189">
            <v>670441</v>
          </cell>
          <cell r="C189">
            <v>0</v>
          </cell>
          <cell r="D189">
            <v>670441</v>
          </cell>
          <cell r="E189">
            <v>0</v>
          </cell>
          <cell r="F189">
            <v>0</v>
          </cell>
          <cell r="G189">
            <v>0</v>
          </cell>
          <cell r="H189">
            <v>670441</v>
          </cell>
          <cell r="I189">
            <v>0</v>
          </cell>
          <cell r="J189">
            <v>-670441</v>
          </cell>
        </row>
        <row r="190">
          <cell r="A190" t="str">
            <v>5-1-01-04-002  MANTENCION TRANSPORTE VERTICAL CORRECTIVA</v>
          </cell>
          <cell r="B190">
            <v>494461</v>
          </cell>
          <cell r="C190">
            <v>0</v>
          </cell>
          <cell r="D190">
            <v>494461</v>
          </cell>
          <cell r="E190">
            <v>0</v>
          </cell>
          <cell r="F190">
            <v>0</v>
          </cell>
          <cell r="G190">
            <v>0</v>
          </cell>
          <cell r="H190">
            <v>494461</v>
          </cell>
          <cell r="I190">
            <v>0</v>
          </cell>
          <cell r="J190">
            <v>-494461</v>
          </cell>
        </row>
        <row r="191">
          <cell r="A191" t="str">
            <v>5-1-01-04-004  MANTENCION BOMBAS AP CORRECTIVA</v>
          </cell>
          <cell r="B191">
            <v>1405460</v>
          </cell>
          <cell r="C191">
            <v>0</v>
          </cell>
          <cell r="D191">
            <v>1405460</v>
          </cell>
          <cell r="E191">
            <v>0</v>
          </cell>
          <cell r="F191">
            <v>0</v>
          </cell>
          <cell r="G191">
            <v>0</v>
          </cell>
          <cell r="H191">
            <v>1405460</v>
          </cell>
          <cell r="I191">
            <v>0</v>
          </cell>
          <cell r="J191">
            <v>-1405460</v>
          </cell>
        </row>
        <row r="192">
          <cell r="A192" t="str">
            <v>5-1-01-04-007  MANTENCION CCTV</v>
          </cell>
          <cell r="B192">
            <v>2971168</v>
          </cell>
          <cell r="C192">
            <v>0</v>
          </cell>
          <cell r="D192">
            <v>2971168</v>
          </cell>
          <cell r="E192">
            <v>0</v>
          </cell>
          <cell r="F192">
            <v>0</v>
          </cell>
          <cell r="G192">
            <v>0</v>
          </cell>
          <cell r="H192">
            <v>2971168</v>
          </cell>
          <cell r="I192">
            <v>0</v>
          </cell>
          <cell r="J192">
            <v>-2971168</v>
          </cell>
        </row>
        <row r="193">
          <cell r="A193" t="str">
            <v>5-1-01-04-011  MANTENCION GENERAL</v>
          </cell>
          <cell r="B193">
            <v>25183413</v>
          </cell>
          <cell r="C193">
            <v>4879301</v>
          </cell>
          <cell r="D193">
            <v>20304112</v>
          </cell>
          <cell r="E193">
            <v>0</v>
          </cell>
          <cell r="F193">
            <v>0</v>
          </cell>
          <cell r="G193">
            <v>0</v>
          </cell>
          <cell r="H193">
            <v>20304112</v>
          </cell>
          <cell r="I193">
            <v>0</v>
          </cell>
          <cell r="J193">
            <v>-20304112</v>
          </cell>
        </row>
        <row r="194">
          <cell r="A194" t="str">
            <v>5-1-01-04-017  MANTENCION CLIMA CORRECTIVA</v>
          </cell>
          <cell r="B194">
            <v>410200</v>
          </cell>
          <cell r="C194">
            <v>0</v>
          </cell>
          <cell r="D194">
            <v>410200</v>
          </cell>
          <cell r="E194">
            <v>0</v>
          </cell>
          <cell r="F194">
            <v>0</v>
          </cell>
          <cell r="G194">
            <v>0</v>
          </cell>
          <cell r="H194">
            <v>410200</v>
          </cell>
          <cell r="I194">
            <v>0</v>
          </cell>
          <cell r="J194">
            <v>-410200</v>
          </cell>
        </row>
        <row r="195">
          <cell r="A195" t="str">
            <v>5-1-01-04-018  MANTENCION ELECTRICA CORRECTIVA</v>
          </cell>
          <cell r="B195">
            <v>195000</v>
          </cell>
          <cell r="C195">
            <v>0</v>
          </cell>
          <cell r="D195">
            <v>195000</v>
          </cell>
          <cell r="E195">
            <v>0</v>
          </cell>
          <cell r="F195">
            <v>0</v>
          </cell>
          <cell r="G195">
            <v>0</v>
          </cell>
          <cell r="H195">
            <v>195000</v>
          </cell>
          <cell r="I195">
            <v>0</v>
          </cell>
          <cell r="J195">
            <v>-195000</v>
          </cell>
        </row>
        <row r="196">
          <cell r="A196" t="str">
            <v>5-1-01-05-006  COMPRAS PETROLEO GAS BENCINA</v>
          </cell>
          <cell r="B196">
            <v>537150</v>
          </cell>
          <cell r="C196">
            <v>0</v>
          </cell>
          <cell r="D196">
            <v>537150</v>
          </cell>
          <cell r="E196">
            <v>0</v>
          </cell>
          <cell r="F196">
            <v>0</v>
          </cell>
          <cell r="G196">
            <v>0</v>
          </cell>
          <cell r="H196">
            <v>537150</v>
          </cell>
          <cell r="I196">
            <v>0</v>
          </cell>
          <cell r="J196">
            <v>-537150</v>
          </cell>
        </row>
        <row r="197">
          <cell r="A197" t="str">
            <v>5-1-01-06-001  CONSUMO AGUA COMUN</v>
          </cell>
          <cell r="B197">
            <v>11438191</v>
          </cell>
          <cell r="C197">
            <v>878059</v>
          </cell>
          <cell r="D197">
            <v>10560132</v>
          </cell>
          <cell r="E197">
            <v>0</v>
          </cell>
          <cell r="F197">
            <v>0</v>
          </cell>
          <cell r="G197">
            <v>0</v>
          </cell>
          <cell r="H197">
            <v>10560132</v>
          </cell>
          <cell r="I197">
            <v>0</v>
          </cell>
          <cell r="J197">
            <v>-10560132</v>
          </cell>
        </row>
        <row r="198">
          <cell r="A198" t="str">
            <v>5-1-01-06-002  CONSUMO ENERGIA COMUN</v>
          </cell>
          <cell r="B198">
            <v>34059476</v>
          </cell>
          <cell r="C198">
            <v>27016</v>
          </cell>
          <cell r="D198">
            <v>34032460</v>
          </cell>
          <cell r="E198">
            <v>0</v>
          </cell>
          <cell r="F198">
            <v>0</v>
          </cell>
          <cell r="G198">
            <v>0</v>
          </cell>
          <cell r="H198">
            <v>34032460</v>
          </cell>
          <cell r="I198">
            <v>0</v>
          </cell>
          <cell r="J198">
            <v>-34032460</v>
          </cell>
        </row>
        <row r="199">
          <cell r="A199" t="str">
            <v>5-1-01-06-003  GASTO COMUN PROPIO</v>
          </cell>
          <cell r="B199">
            <v>322082</v>
          </cell>
          <cell r="C199">
            <v>0</v>
          </cell>
          <cell r="D199">
            <v>322082</v>
          </cell>
          <cell r="E199">
            <v>0</v>
          </cell>
          <cell r="F199">
            <v>0</v>
          </cell>
          <cell r="G199">
            <v>0</v>
          </cell>
          <cell r="H199">
            <v>322082</v>
          </cell>
          <cell r="I199">
            <v>0</v>
          </cell>
          <cell r="J199">
            <v>-322082</v>
          </cell>
        </row>
        <row r="200">
          <cell r="A200" t="str">
            <v>5-1-01-06-004  SERVICIOS INFORMATICOS DE SISTEMAS</v>
          </cell>
          <cell r="B200">
            <v>5540896</v>
          </cell>
          <cell r="C200">
            <v>0</v>
          </cell>
          <cell r="D200">
            <v>5540896</v>
          </cell>
          <cell r="E200">
            <v>0</v>
          </cell>
          <cell r="F200">
            <v>0</v>
          </cell>
          <cell r="G200">
            <v>0</v>
          </cell>
          <cell r="H200">
            <v>5540896</v>
          </cell>
          <cell r="I200">
            <v>0</v>
          </cell>
          <cell r="J200">
            <v>-5540896</v>
          </cell>
        </row>
        <row r="201">
          <cell r="A201" t="str">
            <v>5-1-01-07-001  TELEFONO</v>
          </cell>
          <cell r="B201">
            <v>275304</v>
          </cell>
          <cell r="C201">
            <v>0</v>
          </cell>
          <cell r="D201">
            <v>275304</v>
          </cell>
          <cell r="E201">
            <v>0</v>
          </cell>
          <cell r="F201">
            <v>0</v>
          </cell>
          <cell r="G201">
            <v>0</v>
          </cell>
          <cell r="H201">
            <v>275304</v>
          </cell>
          <cell r="I201">
            <v>0</v>
          </cell>
          <cell r="J201">
            <v>-275304</v>
          </cell>
        </row>
        <row r="202">
          <cell r="A202" t="str">
            <v>5-1-01-07-002  INTERNET</v>
          </cell>
          <cell r="B202">
            <v>2001698</v>
          </cell>
          <cell r="C202">
            <v>0</v>
          </cell>
          <cell r="D202">
            <v>2001698</v>
          </cell>
          <cell r="E202">
            <v>0</v>
          </cell>
          <cell r="F202">
            <v>0</v>
          </cell>
          <cell r="G202">
            <v>0</v>
          </cell>
          <cell r="H202">
            <v>2001698</v>
          </cell>
          <cell r="I202">
            <v>0</v>
          </cell>
          <cell r="J202">
            <v>-2001698</v>
          </cell>
        </row>
        <row r="203">
          <cell r="A203" t="str">
            <v>5-1-01-07-005  ARTICULOS DE OFICINA</v>
          </cell>
          <cell r="B203">
            <v>379634</v>
          </cell>
          <cell r="C203">
            <v>0</v>
          </cell>
          <cell r="D203">
            <v>379634</v>
          </cell>
          <cell r="E203">
            <v>0</v>
          </cell>
          <cell r="F203">
            <v>0</v>
          </cell>
          <cell r="G203">
            <v>0</v>
          </cell>
          <cell r="H203">
            <v>379634</v>
          </cell>
          <cell r="I203">
            <v>0</v>
          </cell>
          <cell r="J203">
            <v>-379634</v>
          </cell>
        </row>
        <row r="204">
          <cell r="A204" t="str">
            <v>5-1-01-08-001  SEGUROS BIENES FISICOS Y RESPONSABILIDAD CIVIL</v>
          </cell>
          <cell r="B204">
            <v>24323408</v>
          </cell>
          <cell r="C204">
            <v>0</v>
          </cell>
          <cell r="D204">
            <v>24323408</v>
          </cell>
          <cell r="E204">
            <v>0</v>
          </cell>
          <cell r="F204">
            <v>0</v>
          </cell>
          <cell r="G204">
            <v>0</v>
          </cell>
          <cell r="H204">
            <v>24323408</v>
          </cell>
          <cell r="I204">
            <v>0</v>
          </cell>
          <cell r="J204">
            <v>-24323408</v>
          </cell>
        </row>
        <row r="205">
          <cell r="A205" t="str">
            <v>5-1-01-10-003  REMUNERACIONES TENS Y RRHH</v>
          </cell>
          <cell r="B205">
            <v>4767014</v>
          </cell>
          <cell r="C205">
            <v>0</v>
          </cell>
          <cell r="D205">
            <v>4767014</v>
          </cell>
          <cell r="E205">
            <v>0</v>
          </cell>
          <cell r="F205">
            <v>0</v>
          </cell>
          <cell r="G205">
            <v>0</v>
          </cell>
          <cell r="H205">
            <v>4767014</v>
          </cell>
          <cell r="I205">
            <v>0</v>
          </cell>
          <cell r="J205">
            <v>-4767014</v>
          </cell>
        </row>
        <row r="206">
          <cell r="A206" t="str">
            <v>5-1-01-11-030  HABILITACIONES GENERALES</v>
          </cell>
          <cell r="B206">
            <v>6026621</v>
          </cell>
          <cell r="C206">
            <v>2779709</v>
          </cell>
          <cell r="D206">
            <v>3246912</v>
          </cell>
          <cell r="E206">
            <v>0</v>
          </cell>
          <cell r="F206">
            <v>0</v>
          </cell>
          <cell r="G206">
            <v>0</v>
          </cell>
          <cell r="H206">
            <v>3246912</v>
          </cell>
          <cell r="I206">
            <v>0</v>
          </cell>
          <cell r="J206">
            <v>-3246912</v>
          </cell>
        </row>
        <row r="207">
          <cell r="A207" t="str">
            <v>5-1-03-01-004  PROMOCIONES VARIAS</v>
          </cell>
          <cell r="B207">
            <v>963120</v>
          </cell>
          <cell r="C207">
            <v>0</v>
          </cell>
          <cell r="D207">
            <v>963120</v>
          </cell>
          <cell r="E207">
            <v>0</v>
          </cell>
          <cell r="F207">
            <v>0</v>
          </cell>
          <cell r="G207">
            <v>0</v>
          </cell>
          <cell r="H207">
            <v>963120</v>
          </cell>
          <cell r="I207">
            <v>0</v>
          </cell>
          <cell r="J207">
            <v>-963120</v>
          </cell>
        </row>
        <row r="208">
          <cell r="A208" t="str">
            <v>5-1-03-01-005  GASTOS DERECHO AUTOR</v>
          </cell>
          <cell r="B208">
            <v>287781</v>
          </cell>
          <cell r="C208">
            <v>0</v>
          </cell>
          <cell r="D208">
            <v>287781</v>
          </cell>
          <cell r="E208">
            <v>0</v>
          </cell>
          <cell r="F208">
            <v>0</v>
          </cell>
          <cell r="G208">
            <v>0</v>
          </cell>
          <cell r="H208">
            <v>287781</v>
          </cell>
          <cell r="I208">
            <v>0</v>
          </cell>
          <cell r="J208">
            <v>-287781</v>
          </cell>
        </row>
        <row r="209">
          <cell r="A209" t="str">
            <v>5-2-01-01-001  REMUNERACIONES BRUTAS</v>
          </cell>
          <cell r="B209">
            <v>143540429</v>
          </cell>
          <cell r="C209">
            <v>0</v>
          </cell>
          <cell r="D209">
            <v>143540429</v>
          </cell>
          <cell r="E209">
            <v>0</v>
          </cell>
          <cell r="F209">
            <v>0</v>
          </cell>
          <cell r="G209">
            <v>0</v>
          </cell>
          <cell r="H209">
            <v>143540429</v>
          </cell>
          <cell r="I209">
            <v>0</v>
          </cell>
          <cell r="J209">
            <v>-143540429</v>
          </cell>
        </row>
        <row r="210">
          <cell r="A210" t="str">
            <v>5-2-01-01-002  APORTES PATRONALES</v>
          </cell>
          <cell r="B210">
            <v>2929548</v>
          </cell>
          <cell r="C210">
            <v>0</v>
          </cell>
          <cell r="D210">
            <v>2929548</v>
          </cell>
          <cell r="E210">
            <v>0</v>
          </cell>
          <cell r="F210">
            <v>0</v>
          </cell>
          <cell r="G210">
            <v>0</v>
          </cell>
          <cell r="H210">
            <v>2929548</v>
          </cell>
          <cell r="I210">
            <v>0</v>
          </cell>
          <cell r="J210">
            <v>-2929548</v>
          </cell>
        </row>
        <row r="211">
          <cell r="A211" t="str">
            <v>5-2-01-01-004  GRATIFICACIONES</v>
          </cell>
          <cell r="B211">
            <v>4481427</v>
          </cell>
          <cell r="C211">
            <v>0</v>
          </cell>
          <cell r="D211">
            <v>4481427</v>
          </cell>
          <cell r="E211">
            <v>0</v>
          </cell>
          <cell r="F211">
            <v>0</v>
          </cell>
          <cell r="G211">
            <v>0</v>
          </cell>
          <cell r="H211">
            <v>4481427</v>
          </cell>
          <cell r="I211">
            <v>0</v>
          </cell>
          <cell r="J211">
            <v>-4481427</v>
          </cell>
        </row>
        <row r="212">
          <cell r="A212" t="str">
            <v>5-2-01-01-006  OTROS NO IMPONIBLES</v>
          </cell>
          <cell r="B212">
            <v>91316602</v>
          </cell>
          <cell r="C212">
            <v>0</v>
          </cell>
          <cell r="D212">
            <v>91316602</v>
          </cell>
          <cell r="E212">
            <v>0</v>
          </cell>
          <cell r="F212">
            <v>0</v>
          </cell>
          <cell r="G212">
            <v>0</v>
          </cell>
          <cell r="H212">
            <v>91316602</v>
          </cell>
          <cell r="I212">
            <v>0</v>
          </cell>
          <cell r="J212">
            <v>-91316602</v>
          </cell>
        </row>
        <row r="213">
          <cell r="A213" t="str">
            <v>5-2-01-01-008  SEGURO COMPLEMENTARIO SALUD</v>
          </cell>
          <cell r="B213">
            <v>1475796</v>
          </cell>
          <cell r="C213">
            <v>297960</v>
          </cell>
          <cell r="D213">
            <v>1177836</v>
          </cell>
          <cell r="E213">
            <v>0</v>
          </cell>
          <cell r="F213">
            <v>0</v>
          </cell>
          <cell r="G213">
            <v>0</v>
          </cell>
          <cell r="H213">
            <v>1177836</v>
          </cell>
          <cell r="I213">
            <v>0</v>
          </cell>
          <cell r="J213">
            <v>-1177836</v>
          </cell>
        </row>
        <row r="214">
          <cell r="A214" t="str">
            <v>5-2-01-01-009  GASTOS VACACIONES</v>
          </cell>
          <cell r="B214">
            <v>67565603</v>
          </cell>
          <cell r="C214">
            <v>0</v>
          </cell>
          <cell r="D214">
            <v>67565603</v>
          </cell>
          <cell r="E214">
            <v>0</v>
          </cell>
          <cell r="F214">
            <v>0</v>
          </cell>
          <cell r="G214">
            <v>0</v>
          </cell>
          <cell r="H214">
            <v>67565603</v>
          </cell>
          <cell r="I214">
            <v>0</v>
          </cell>
          <cell r="J214">
            <v>-67565603</v>
          </cell>
        </row>
        <row r="215">
          <cell r="A215" t="str">
            <v>5-2-01-02-001  HONORARIOS CONTABLES</v>
          </cell>
          <cell r="B215">
            <v>1087719</v>
          </cell>
          <cell r="C215">
            <v>0</v>
          </cell>
          <cell r="D215">
            <v>1087719</v>
          </cell>
          <cell r="E215">
            <v>0</v>
          </cell>
          <cell r="F215">
            <v>0</v>
          </cell>
          <cell r="G215">
            <v>0</v>
          </cell>
          <cell r="H215">
            <v>1087719</v>
          </cell>
          <cell r="I215">
            <v>0</v>
          </cell>
          <cell r="J215">
            <v>-1087719</v>
          </cell>
        </row>
        <row r="216">
          <cell r="A216" t="str">
            <v>5-2-01-02-002  HONORARIOS SERVICIOS LEGALES</v>
          </cell>
          <cell r="B216">
            <v>2755394</v>
          </cell>
          <cell r="C216">
            <v>0</v>
          </cell>
          <cell r="D216">
            <v>2755394</v>
          </cell>
          <cell r="E216">
            <v>0</v>
          </cell>
          <cell r="F216">
            <v>0</v>
          </cell>
          <cell r="G216">
            <v>0</v>
          </cell>
          <cell r="H216">
            <v>2755394</v>
          </cell>
          <cell r="I216">
            <v>0</v>
          </cell>
          <cell r="J216">
            <v>-2755394</v>
          </cell>
        </row>
        <row r="217">
          <cell r="A217" t="str">
            <v>5-2-01-02-003  ASESORIAS Y CONSULTORIAS</v>
          </cell>
          <cell r="B217">
            <v>36792368</v>
          </cell>
          <cell r="C217">
            <v>5487198</v>
          </cell>
          <cell r="D217">
            <v>31305170</v>
          </cell>
          <cell r="E217">
            <v>0</v>
          </cell>
          <cell r="F217">
            <v>0</v>
          </cell>
          <cell r="G217">
            <v>0</v>
          </cell>
          <cell r="H217">
            <v>31305170</v>
          </cell>
          <cell r="I217">
            <v>0</v>
          </cell>
          <cell r="J217">
            <v>-31305170</v>
          </cell>
        </row>
        <row r="218">
          <cell r="A218" t="str">
            <v>5-2-01-02-004  SERVICIOS DE ASEO</v>
          </cell>
          <cell r="B218">
            <v>28847538</v>
          </cell>
          <cell r="C218">
            <v>2796235</v>
          </cell>
          <cell r="D218">
            <v>26051303</v>
          </cell>
          <cell r="E218">
            <v>0</v>
          </cell>
          <cell r="F218">
            <v>0</v>
          </cell>
          <cell r="G218">
            <v>0</v>
          </cell>
          <cell r="H218">
            <v>26051303</v>
          </cell>
          <cell r="I218">
            <v>0</v>
          </cell>
          <cell r="J218">
            <v>-26051303</v>
          </cell>
        </row>
        <row r="219">
          <cell r="A219" t="str">
            <v>5-2-01-02-007  SERVICIOS DE PUBLICIDAD Y MARKETING</v>
          </cell>
          <cell r="B219">
            <v>11940634</v>
          </cell>
          <cell r="C219">
            <v>219000</v>
          </cell>
          <cell r="D219">
            <v>11721634</v>
          </cell>
          <cell r="E219">
            <v>0</v>
          </cell>
          <cell r="F219">
            <v>0</v>
          </cell>
          <cell r="G219">
            <v>0</v>
          </cell>
          <cell r="H219">
            <v>11721634</v>
          </cell>
          <cell r="I219">
            <v>0</v>
          </cell>
          <cell r="J219">
            <v>-11721634</v>
          </cell>
        </row>
        <row r="220">
          <cell r="A220" t="str">
            <v>5-2-01-02-010  HONORARIOS DE COMERCIALIZACION</v>
          </cell>
          <cell r="B220">
            <v>1500000</v>
          </cell>
          <cell r="C220">
            <v>0</v>
          </cell>
          <cell r="D220">
            <v>1500000</v>
          </cell>
          <cell r="E220">
            <v>0</v>
          </cell>
          <cell r="F220">
            <v>0</v>
          </cell>
          <cell r="G220">
            <v>0</v>
          </cell>
          <cell r="H220">
            <v>1500000</v>
          </cell>
          <cell r="I220">
            <v>0</v>
          </cell>
          <cell r="J220">
            <v>-1500000</v>
          </cell>
        </row>
        <row r="221">
          <cell r="A221" t="str">
            <v>5-2-01-02-011  PAGOS LEGALES Y DEMANDAS</v>
          </cell>
          <cell r="B221">
            <v>390000</v>
          </cell>
          <cell r="C221">
            <v>0</v>
          </cell>
          <cell r="D221">
            <v>390000</v>
          </cell>
          <cell r="E221">
            <v>0</v>
          </cell>
          <cell r="F221">
            <v>0</v>
          </cell>
          <cell r="G221">
            <v>0</v>
          </cell>
          <cell r="H221">
            <v>390000</v>
          </cell>
          <cell r="I221">
            <v>0</v>
          </cell>
          <cell r="J221">
            <v>-390000</v>
          </cell>
        </row>
        <row r="222">
          <cell r="A222" t="str">
            <v>5-2-01-03-002  GASTOS NOTARIALES</v>
          </cell>
          <cell r="B222">
            <v>171000</v>
          </cell>
          <cell r="C222">
            <v>0</v>
          </cell>
          <cell r="D222">
            <v>171000</v>
          </cell>
          <cell r="E222">
            <v>0</v>
          </cell>
          <cell r="F222">
            <v>0</v>
          </cell>
          <cell r="G222">
            <v>0</v>
          </cell>
          <cell r="H222">
            <v>171000</v>
          </cell>
          <cell r="I222">
            <v>0</v>
          </cell>
          <cell r="J222">
            <v>-171000</v>
          </cell>
        </row>
        <row r="223">
          <cell r="A223" t="str">
            <v>5-2-01-03-004  GASTO IVA PROPORCIONAL</v>
          </cell>
          <cell r="B223">
            <v>9948641</v>
          </cell>
          <cell r="C223">
            <v>0</v>
          </cell>
          <cell r="D223">
            <v>9948641</v>
          </cell>
          <cell r="E223">
            <v>0</v>
          </cell>
          <cell r="F223">
            <v>0</v>
          </cell>
          <cell r="G223">
            <v>0</v>
          </cell>
          <cell r="H223">
            <v>9948641</v>
          </cell>
          <cell r="I223">
            <v>0</v>
          </cell>
          <cell r="J223">
            <v>-9948641</v>
          </cell>
        </row>
        <row r="224">
          <cell r="A224" t="str">
            <v>5-2-01-03-006  GASTOS GENERALES</v>
          </cell>
          <cell r="B224">
            <v>8598564</v>
          </cell>
          <cell r="C224">
            <v>222554</v>
          </cell>
          <cell r="D224">
            <v>8376010</v>
          </cell>
          <cell r="E224">
            <v>0</v>
          </cell>
          <cell r="F224">
            <v>0</v>
          </cell>
          <cell r="G224">
            <v>0</v>
          </cell>
          <cell r="H224">
            <v>8376010</v>
          </cell>
          <cell r="I224">
            <v>0</v>
          </cell>
          <cell r="J224">
            <v>-8376010</v>
          </cell>
        </row>
        <row r="225">
          <cell r="A225" t="str">
            <v>5-2-01-05-001  GASTOS DE REPRESENTACION</v>
          </cell>
          <cell r="B225">
            <v>3105671</v>
          </cell>
          <cell r="C225">
            <v>0</v>
          </cell>
          <cell r="D225">
            <v>3105671</v>
          </cell>
          <cell r="E225">
            <v>0</v>
          </cell>
          <cell r="F225">
            <v>0</v>
          </cell>
          <cell r="G225">
            <v>0</v>
          </cell>
          <cell r="H225">
            <v>3105671</v>
          </cell>
          <cell r="I225">
            <v>0</v>
          </cell>
          <cell r="J225">
            <v>-3105671</v>
          </cell>
        </row>
        <row r="226">
          <cell r="A226" t="str">
            <v>5-2-01-06-001  ARRIENDOS</v>
          </cell>
          <cell r="B226">
            <v>5045769</v>
          </cell>
          <cell r="C226">
            <v>0</v>
          </cell>
          <cell r="D226">
            <v>5045769</v>
          </cell>
          <cell r="E226">
            <v>0</v>
          </cell>
          <cell r="F226">
            <v>0</v>
          </cell>
          <cell r="G226">
            <v>0</v>
          </cell>
          <cell r="H226">
            <v>5045769</v>
          </cell>
          <cell r="I226">
            <v>0</v>
          </cell>
          <cell r="J226">
            <v>-5045769</v>
          </cell>
        </row>
        <row r="227">
          <cell r="A227" t="str">
            <v>5-2-01-07-001  CONTRIBUCIONES</v>
          </cell>
          <cell r="B227">
            <v>125180771</v>
          </cell>
          <cell r="C227">
            <v>0</v>
          </cell>
          <cell r="D227">
            <v>125180771</v>
          </cell>
          <cell r="E227">
            <v>0</v>
          </cell>
          <cell r="F227">
            <v>0</v>
          </cell>
          <cell r="G227">
            <v>0</v>
          </cell>
          <cell r="H227">
            <v>125180771</v>
          </cell>
          <cell r="I227">
            <v>0</v>
          </cell>
          <cell r="J227">
            <v>-125180771</v>
          </cell>
        </row>
        <row r="228">
          <cell r="A228" t="str">
            <v>5-3-01-01-001  INTERESES LEASING</v>
          </cell>
          <cell r="B228">
            <v>115491227</v>
          </cell>
          <cell r="C228">
            <v>26837492</v>
          </cell>
          <cell r="D228">
            <v>88653735</v>
          </cell>
          <cell r="E228">
            <v>0</v>
          </cell>
          <cell r="F228">
            <v>0</v>
          </cell>
          <cell r="G228">
            <v>0</v>
          </cell>
          <cell r="H228">
            <v>88653735</v>
          </cell>
          <cell r="I228">
            <v>0</v>
          </cell>
          <cell r="J228">
            <v>-88653735</v>
          </cell>
        </row>
        <row r="229">
          <cell r="A229" t="str">
            <v>5-3-01-01-002  GASTOS BANCARIOS</v>
          </cell>
          <cell r="B229">
            <v>3666753</v>
          </cell>
          <cell r="C229">
            <v>0</v>
          </cell>
          <cell r="D229">
            <v>3666753</v>
          </cell>
          <cell r="E229">
            <v>0</v>
          </cell>
          <cell r="F229">
            <v>0</v>
          </cell>
          <cell r="G229">
            <v>0</v>
          </cell>
          <cell r="H229">
            <v>3666753</v>
          </cell>
          <cell r="I229">
            <v>0</v>
          </cell>
          <cell r="J229">
            <v>-3666753</v>
          </cell>
        </row>
        <row r="230">
          <cell r="A230" t="str">
            <v>5-3-01-01-005  GASTOS E INTERESES COMERCIALES</v>
          </cell>
          <cell r="B230">
            <v>11008543</v>
          </cell>
          <cell r="C230">
            <v>0</v>
          </cell>
          <cell r="D230">
            <v>11008543</v>
          </cell>
          <cell r="E230">
            <v>0</v>
          </cell>
          <cell r="F230">
            <v>0</v>
          </cell>
          <cell r="G230">
            <v>0</v>
          </cell>
          <cell r="H230">
            <v>11008543</v>
          </cell>
          <cell r="I230">
            <v>0</v>
          </cell>
          <cell r="J230">
            <v>-11008543</v>
          </cell>
        </row>
        <row r="231">
          <cell r="A231" t="str">
            <v>5-3-01-02-006  GANANCIA (PERDIDA) SWAP</v>
          </cell>
          <cell r="B231">
            <v>104776070</v>
          </cell>
          <cell r="C231">
            <v>0</v>
          </cell>
          <cell r="D231">
            <v>104776070</v>
          </cell>
          <cell r="E231">
            <v>0</v>
          </cell>
          <cell r="F231">
            <v>0</v>
          </cell>
          <cell r="G231">
            <v>0</v>
          </cell>
          <cell r="H231">
            <v>104776070</v>
          </cell>
          <cell r="I231">
            <v>0</v>
          </cell>
          <cell r="J231">
            <v>-104776070</v>
          </cell>
        </row>
        <row r="232">
          <cell r="A232" t="str">
            <v>5-3-01-02-007  MAYOR / MENOR VALOR DE INVERSIONES</v>
          </cell>
          <cell r="B232">
            <v>185133</v>
          </cell>
          <cell r="C232">
            <v>132049045</v>
          </cell>
          <cell r="D232">
            <v>0</v>
          </cell>
          <cell r="E232">
            <v>131863912</v>
          </cell>
          <cell r="F232">
            <v>0</v>
          </cell>
          <cell r="G232">
            <v>0</v>
          </cell>
          <cell r="H232">
            <v>0</v>
          </cell>
          <cell r="I232">
            <v>131863912</v>
          </cell>
          <cell r="J232">
            <v>131863912</v>
          </cell>
        </row>
        <row r="233">
          <cell r="A233" t="str">
            <v>5-3-01-02-014  DEUDORES INCOBRABLES</v>
          </cell>
          <cell r="B233">
            <v>64743539</v>
          </cell>
          <cell r="C233">
            <v>44851261</v>
          </cell>
          <cell r="D233">
            <v>19892278</v>
          </cell>
          <cell r="E233">
            <v>0</v>
          </cell>
          <cell r="F233">
            <v>0</v>
          </cell>
          <cell r="G233">
            <v>0</v>
          </cell>
          <cell r="H233">
            <v>19892278</v>
          </cell>
          <cell r="I233">
            <v>0</v>
          </cell>
          <cell r="J233">
            <v>-19892278</v>
          </cell>
        </row>
        <row r="234">
          <cell r="A234" t="str">
            <v>5-3-01-02-020  COSTO MANDATO INVERSIONES NUEVA SANTA FIDELMIRA LIMITADA</v>
          </cell>
          <cell r="B234">
            <v>12377918</v>
          </cell>
          <cell r="C234">
            <v>0</v>
          </cell>
          <cell r="D234">
            <v>12377918</v>
          </cell>
          <cell r="E234">
            <v>0</v>
          </cell>
          <cell r="F234">
            <v>0</v>
          </cell>
          <cell r="G234">
            <v>0</v>
          </cell>
          <cell r="H234">
            <v>12377918</v>
          </cell>
          <cell r="I234">
            <v>0</v>
          </cell>
          <cell r="J234">
            <v>-12377918</v>
          </cell>
        </row>
        <row r="235">
          <cell r="A235" t="str">
            <v>5-3-01-03-006  CORRECCION EN UF</v>
          </cell>
          <cell r="B235">
            <v>85388296</v>
          </cell>
          <cell r="C235">
            <v>8170268</v>
          </cell>
          <cell r="D235">
            <v>77218028</v>
          </cell>
          <cell r="E235">
            <v>0</v>
          </cell>
          <cell r="F235">
            <v>0</v>
          </cell>
          <cell r="G235">
            <v>0</v>
          </cell>
          <cell r="H235">
            <v>77218028</v>
          </cell>
          <cell r="I235">
            <v>0</v>
          </cell>
          <cell r="J235">
            <v>-77218028</v>
          </cell>
        </row>
        <row r="236">
          <cell r="A236" t="str">
            <v>5-3-01-03-011  VARIACION USD</v>
          </cell>
          <cell r="B236">
            <v>5133215</v>
          </cell>
          <cell r="C236">
            <v>50035220</v>
          </cell>
          <cell r="D236">
            <v>0</v>
          </cell>
          <cell r="E236">
            <v>44902005</v>
          </cell>
          <cell r="F236">
            <v>0</v>
          </cell>
          <cell r="G236">
            <v>0</v>
          </cell>
          <cell r="H236">
            <v>0</v>
          </cell>
          <cell r="I236">
            <v>44902005</v>
          </cell>
          <cell r="J236">
            <v>44902005</v>
          </cell>
        </row>
        <row r="237">
          <cell r="A237" t="str">
            <v>5-3-01-05-001  DEPRECIACIONES</v>
          </cell>
          <cell r="B237">
            <v>35049103</v>
          </cell>
          <cell r="C237">
            <v>0</v>
          </cell>
          <cell r="D237">
            <v>35049103</v>
          </cell>
          <cell r="E237">
            <v>0</v>
          </cell>
          <cell r="F237">
            <v>0</v>
          </cell>
          <cell r="G237">
            <v>0</v>
          </cell>
          <cell r="H237">
            <v>35049103</v>
          </cell>
          <cell r="I237">
            <v>0</v>
          </cell>
          <cell r="J237">
            <v>-35049103</v>
          </cell>
        </row>
        <row r="238">
          <cell r="A238" t="str">
            <v>5-3-01-05-002  DEPRECIACION BIENES EN LEASING</v>
          </cell>
          <cell r="B238">
            <v>734102237</v>
          </cell>
          <cell r="C238">
            <v>672927049</v>
          </cell>
          <cell r="D238">
            <v>61175188</v>
          </cell>
          <cell r="E238">
            <v>0</v>
          </cell>
          <cell r="F238">
            <v>0</v>
          </cell>
          <cell r="G238">
            <v>0</v>
          </cell>
          <cell r="H238">
            <v>61175188</v>
          </cell>
          <cell r="I238">
            <v>0</v>
          </cell>
          <cell r="J238">
            <v>-61175188</v>
          </cell>
        </row>
        <row r="239">
          <cell r="A239" t="str">
            <v>Sub-Totales</v>
          </cell>
          <cell r="B239">
            <v>20176556614</v>
          </cell>
          <cell r="C239">
            <v>20176556614</v>
          </cell>
          <cell r="D239">
            <v>10371026570</v>
          </cell>
          <cell r="E239">
            <v>10371026570</v>
          </cell>
          <cell r="F239">
            <v>9232961202</v>
          </cell>
          <cell r="G239">
            <v>8991324189</v>
          </cell>
          <cell r="H239">
            <v>1138065368</v>
          </cell>
          <cell r="I239">
            <v>1379702381</v>
          </cell>
          <cell r="J239">
            <v>0</v>
          </cell>
        </row>
        <row r="240">
          <cell r="A240" t="str">
            <v>Pérdidas / Ganancias</v>
          </cell>
          <cell r="B240"/>
          <cell r="C240"/>
          <cell r="D240"/>
          <cell r="E240"/>
          <cell r="F240"/>
          <cell r="G240">
            <v>241637013</v>
          </cell>
          <cell r="H240">
            <v>241637013</v>
          </cell>
          <cell r="I240"/>
          <cell r="J240">
            <v>0</v>
          </cell>
        </row>
        <row r="241">
          <cell r="A241" t="str">
            <v>Total General</v>
          </cell>
          <cell r="B241">
            <v>20176556614</v>
          </cell>
          <cell r="C241">
            <v>20176556614</v>
          </cell>
          <cell r="D241">
            <v>10371026570</v>
          </cell>
          <cell r="E241">
            <v>10371026570</v>
          </cell>
          <cell r="F241">
            <v>9232961202</v>
          </cell>
          <cell r="G241">
            <v>9232961202</v>
          </cell>
          <cell r="H241">
            <v>1379702381</v>
          </cell>
          <cell r="I241">
            <v>1379702381</v>
          </cell>
          <cell r="J241">
            <v>0</v>
          </cell>
        </row>
        <row r="242">
          <cell r="B242"/>
          <cell r="C242"/>
        </row>
        <row r="243">
          <cell r="B243"/>
          <cell r="C243"/>
          <cell r="E243"/>
          <cell r="G243"/>
        </row>
        <row r="244">
          <cell r="B244"/>
          <cell r="C244"/>
        </row>
        <row r="245">
          <cell r="B245"/>
          <cell r="C245"/>
        </row>
        <row r="246">
          <cell r="B246"/>
          <cell r="C246"/>
        </row>
        <row r="247">
          <cell r="B247"/>
          <cell r="C247"/>
        </row>
        <row r="248">
          <cell r="B248"/>
          <cell r="C248"/>
          <cell r="E248"/>
          <cell r="G248"/>
        </row>
        <row r="249">
          <cell r="B249"/>
          <cell r="C249"/>
          <cell r="E249"/>
          <cell r="G249"/>
        </row>
        <row r="250">
          <cell r="B250"/>
          <cell r="C250"/>
          <cell r="E250"/>
          <cell r="G250"/>
        </row>
        <row r="251">
          <cell r="B251"/>
          <cell r="C251"/>
          <cell r="E251"/>
          <cell r="G251"/>
        </row>
        <row r="252">
          <cell r="B252"/>
          <cell r="C252"/>
          <cell r="E252"/>
          <cell r="G252"/>
        </row>
        <row r="253">
          <cell r="B253"/>
          <cell r="C253"/>
          <cell r="E253"/>
          <cell r="G253"/>
        </row>
        <row r="254">
          <cell r="B254"/>
          <cell r="C254"/>
          <cell r="E254"/>
          <cell r="G254"/>
        </row>
        <row r="255">
          <cell r="B255"/>
          <cell r="C255"/>
          <cell r="E255"/>
          <cell r="G255"/>
        </row>
        <row r="256">
          <cell r="B256"/>
          <cell r="C256"/>
          <cell r="E256"/>
          <cell r="G256"/>
        </row>
        <row r="257">
          <cell r="B257"/>
          <cell r="C257"/>
          <cell r="E257"/>
          <cell r="G257"/>
        </row>
        <row r="258">
          <cell r="C258"/>
          <cell r="E258"/>
          <cell r="G258"/>
        </row>
        <row r="259">
          <cell r="C259"/>
          <cell r="E259"/>
          <cell r="G259"/>
        </row>
        <row r="260">
          <cell r="B260"/>
          <cell r="C260"/>
        </row>
        <row r="261">
          <cell r="C261"/>
          <cell r="E261"/>
          <cell r="G261"/>
        </row>
        <row r="262">
          <cell r="C262"/>
          <cell r="E262"/>
          <cell r="G262"/>
        </row>
        <row r="263">
          <cell r="B263"/>
          <cell r="D263"/>
          <cell r="F263"/>
        </row>
        <row r="264">
          <cell r="B264"/>
          <cell r="C264"/>
          <cell r="E264"/>
          <cell r="G264"/>
        </row>
        <row r="265">
          <cell r="B265"/>
          <cell r="D265"/>
          <cell r="F265"/>
        </row>
        <row r="266">
          <cell r="B266"/>
          <cell r="D266"/>
          <cell r="F266"/>
        </row>
        <row r="267">
          <cell r="B267"/>
          <cell r="C267"/>
          <cell r="E267"/>
          <cell r="I267"/>
        </row>
        <row r="268">
          <cell r="B268"/>
          <cell r="C268"/>
          <cell r="E268"/>
          <cell r="I268"/>
        </row>
        <row r="269">
          <cell r="B269"/>
          <cell r="C269"/>
          <cell r="E269"/>
          <cell r="I269"/>
        </row>
        <row r="270">
          <cell r="B270"/>
          <cell r="C270"/>
          <cell r="E270"/>
          <cell r="I270"/>
        </row>
        <row r="271">
          <cell r="C271"/>
          <cell r="E271"/>
          <cell r="I271"/>
        </row>
        <row r="272">
          <cell r="B272"/>
          <cell r="C272"/>
          <cell r="E272"/>
          <cell r="I272"/>
        </row>
        <row r="273">
          <cell r="C273"/>
          <cell r="E273"/>
          <cell r="I273"/>
        </row>
        <row r="274">
          <cell r="B274"/>
          <cell r="C274"/>
          <cell r="D274"/>
          <cell r="H274"/>
        </row>
        <row r="275">
          <cell r="B275"/>
          <cell r="C275"/>
          <cell r="E275"/>
          <cell r="I275"/>
        </row>
        <row r="276">
          <cell r="C276"/>
          <cell r="E276"/>
          <cell r="I276"/>
        </row>
        <row r="277">
          <cell r="C277"/>
          <cell r="E277"/>
          <cell r="I277"/>
        </row>
        <row r="278">
          <cell r="C278"/>
          <cell r="E278"/>
          <cell r="I278"/>
        </row>
        <row r="279">
          <cell r="C279"/>
          <cell r="E279"/>
          <cell r="I279"/>
        </row>
        <row r="280">
          <cell r="C280"/>
          <cell r="E280"/>
          <cell r="I280"/>
        </row>
        <row r="281">
          <cell r="C281"/>
          <cell r="E281"/>
          <cell r="I281"/>
        </row>
        <row r="282">
          <cell r="C282"/>
          <cell r="E282"/>
          <cell r="I282"/>
        </row>
        <row r="283">
          <cell r="C283"/>
          <cell r="E283"/>
          <cell r="I283"/>
        </row>
        <row r="284">
          <cell r="C284"/>
          <cell r="E284"/>
          <cell r="I284"/>
        </row>
        <row r="285">
          <cell r="C285"/>
          <cell r="E285"/>
          <cell r="I285"/>
        </row>
        <row r="286">
          <cell r="C286"/>
          <cell r="E286"/>
          <cell r="I286"/>
        </row>
        <row r="287">
          <cell r="B287"/>
          <cell r="C287"/>
          <cell r="D287"/>
          <cell r="H287"/>
        </row>
        <row r="288">
          <cell r="C288"/>
          <cell r="E288"/>
          <cell r="I288"/>
        </row>
        <row r="289">
          <cell r="B289"/>
          <cell r="C289"/>
          <cell r="D289"/>
          <cell r="H289"/>
        </row>
        <row r="290">
          <cell r="B290"/>
          <cell r="C290"/>
          <cell r="D290"/>
          <cell r="H290"/>
        </row>
        <row r="291">
          <cell r="B291"/>
          <cell r="D291"/>
          <cell r="H291"/>
        </row>
        <row r="292">
          <cell r="B292"/>
          <cell r="C292"/>
          <cell r="D292"/>
          <cell r="H292"/>
        </row>
        <row r="293">
          <cell r="B293"/>
          <cell r="D293"/>
          <cell r="H293"/>
        </row>
        <row r="294">
          <cell r="B294"/>
          <cell r="D294"/>
          <cell r="H294"/>
        </row>
        <row r="295">
          <cell r="B295"/>
          <cell r="C295"/>
          <cell r="D295"/>
          <cell r="H295"/>
        </row>
        <row r="296">
          <cell r="B296"/>
          <cell r="D296"/>
          <cell r="H296"/>
        </row>
        <row r="297">
          <cell r="B297"/>
          <cell r="C297"/>
          <cell r="D297"/>
          <cell r="H297"/>
        </row>
        <row r="298">
          <cell r="B298"/>
          <cell r="D298"/>
          <cell r="H298"/>
        </row>
        <row r="299">
          <cell r="B299"/>
          <cell r="D299"/>
          <cell r="H299"/>
        </row>
        <row r="300">
          <cell r="B300"/>
          <cell r="D300"/>
          <cell r="H300"/>
        </row>
        <row r="301">
          <cell r="B301"/>
          <cell r="D301"/>
          <cell r="H301"/>
        </row>
        <row r="302">
          <cell r="B302"/>
          <cell r="D302"/>
          <cell r="H302"/>
        </row>
        <row r="303">
          <cell r="B303"/>
          <cell r="D303"/>
          <cell r="H303"/>
        </row>
        <row r="304">
          <cell r="B304"/>
          <cell r="D304"/>
          <cell r="H304"/>
        </row>
        <row r="305">
          <cell r="B305"/>
          <cell r="C305"/>
          <cell r="D305"/>
          <cell r="H305"/>
        </row>
        <row r="306">
          <cell r="B306"/>
          <cell r="C306"/>
          <cell r="D306"/>
          <cell r="H306"/>
        </row>
        <row r="307">
          <cell r="B307"/>
          <cell r="D307"/>
          <cell r="H307"/>
        </row>
        <row r="308">
          <cell r="B308"/>
          <cell r="D308"/>
          <cell r="H308"/>
        </row>
        <row r="309">
          <cell r="B309"/>
          <cell r="D309"/>
          <cell r="H309"/>
        </row>
        <row r="310">
          <cell r="B310"/>
          <cell r="D310"/>
          <cell r="H310"/>
        </row>
        <row r="311">
          <cell r="B311"/>
          <cell r="D311"/>
          <cell r="H311"/>
        </row>
        <row r="312">
          <cell r="B312"/>
          <cell r="D312"/>
          <cell r="H312"/>
        </row>
        <row r="313">
          <cell r="B313"/>
          <cell r="D313"/>
          <cell r="H313"/>
        </row>
        <row r="314">
          <cell r="B314"/>
          <cell r="D314"/>
          <cell r="H314"/>
        </row>
        <row r="315">
          <cell r="B315"/>
          <cell r="D315"/>
          <cell r="H315"/>
        </row>
        <row r="316">
          <cell r="B316"/>
          <cell r="D316"/>
          <cell r="H316"/>
        </row>
        <row r="317">
          <cell r="B317"/>
          <cell r="D317"/>
          <cell r="H317"/>
        </row>
        <row r="318">
          <cell r="B318"/>
          <cell r="C318"/>
          <cell r="D318"/>
          <cell r="H318"/>
        </row>
        <row r="319">
          <cell r="B319"/>
          <cell r="C319"/>
          <cell r="D319"/>
          <cell r="H319"/>
        </row>
        <row r="320">
          <cell r="B320"/>
          <cell r="C320"/>
          <cell r="D320"/>
          <cell r="H320"/>
        </row>
        <row r="321">
          <cell r="B321"/>
          <cell r="C321"/>
          <cell r="D321"/>
          <cell r="H321"/>
        </row>
        <row r="322">
          <cell r="B322"/>
          <cell r="C322"/>
          <cell r="D322"/>
          <cell r="H322"/>
        </row>
        <row r="323">
          <cell r="B323"/>
          <cell r="C323"/>
          <cell r="D323"/>
          <cell r="H323"/>
        </row>
        <row r="324">
          <cell r="B324"/>
          <cell r="C324"/>
          <cell r="D324"/>
          <cell r="H324"/>
        </row>
        <row r="325">
          <cell r="B325"/>
          <cell r="D325"/>
          <cell r="H325"/>
        </row>
        <row r="326">
          <cell r="B326"/>
          <cell r="C326"/>
          <cell r="D326"/>
          <cell r="H326"/>
        </row>
        <row r="327">
          <cell r="B327"/>
          <cell r="D327"/>
          <cell r="H327"/>
        </row>
        <row r="328">
          <cell r="B328"/>
          <cell r="C328"/>
          <cell r="D328"/>
          <cell r="H328"/>
        </row>
        <row r="329">
          <cell r="B329"/>
          <cell r="C329"/>
          <cell r="D329"/>
          <cell r="H329"/>
        </row>
        <row r="330">
          <cell r="B330"/>
          <cell r="C330"/>
          <cell r="D330"/>
          <cell r="H330"/>
        </row>
        <row r="331">
          <cell r="B331"/>
          <cell r="D331"/>
          <cell r="H331"/>
        </row>
        <row r="332">
          <cell r="B332"/>
          <cell r="D332"/>
          <cell r="H332"/>
        </row>
        <row r="333">
          <cell r="B333"/>
          <cell r="D333"/>
          <cell r="H333"/>
        </row>
        <row r="334">
          <cell r="B334"/>
          <cell r="D334"/>
          <cell r="H334"/>
        </row>
        <row r="335">
          <cell r="B335"/>
          <cell r="D335"/>
          <cell r="H335"/>
        </row>
        <row r="336">
          <cell r="B336"/>
          <cell r="D336"/>
          <cell r="H336"/>
        </row>
        <row r="337">
          <cell r="B337"/>
          <cell r="D337"/>
          <cell r="H337"/>
        </row>
        <row r="338">
          <cell r="B338"/>
          <cell r="D338"/>
          <cell r="H338"/>
        </row>
        <row r="339">
          <cell r="B339"/>
          <cell r="C339"/>
          <cell r="D339"/>
          <cell r="H339"/>
        </row>
        <row r="340">
          <cell r="B340"/>
          <cell r="C340"/>
          <cell r="D340"/>
          <cell r="H340"/>
        </row>
        <row r="341">
          <cell r="B341"/>
          <cell r="C341"/>
          <cell r="D341"/>
          <cell r="H341"/>
        </row>
        <row r="342">
          <cell r="B342"/>
          <cell r="C342"/>
          <cell r="D342"/>
          <cell r="H342"/>
        </row>
        <row r="343">
          <cell r="B343"/>
          <cell r="C343"/>
          <cell r="D343"/>
          <cell r="H343"/>
        </row>
        <row r="344">
          <cell r="B344"/>
          <cell r="D344"/>
          <cell r="H344"/>
        </row>
        <row r="345">
          <cell r="B345"/>
          <cell r="C345"/>
          <cell r="D345"/>
          <cell r="H345"/>
        </row>
        <row r="346">
          <cell r="B346"/>
          <cell r="D346"/>
          <cell r="H346"/>
        </row>
        <row r="347">
          <cell r="B347"/>
          <cell r="D347"/>
          <cell r="H347"/>
        </row>
        <row r="348">
          <cell r="B348"/>
          <cell r="C348"/>
          <cell r="D348"/>
          <cell r="H348"/>
        </row>
        <row r="349">
          <cell r="B349"/>
          <cell r="C349"/>
          <cell r="D349"/>
          <cell r="H349"/>
        </row>
        <row r="350">
          <cell r="B350"/>
          <cell r="D350"/>
          <cell r="H350"/>
        </row>
        <row r="351">
          <cell r="B351"/>
          <cell r="D351"/>
          <cell r="H351"/>
        </row>
        <row r="352">
          <cell r="B352"/>
          <cell r="C352"/>
          <cell r="D352"/>
          <cell r="H352"/>
        </row>
        <row r="353">
          <cell r="B353"/>
          <cell r="C353"/>
          <cell r="D353"/>
          <cell r="H353"/>
        </row>
        <row r="354">
          <cell r="B354"/>
          <cell r="D354"/>
          <cell r="H354"/>
        </row>
        <row r="355">
          <cell r="B355"/>
          <cell r="C355"/>
          <cell r="D355"/>
          <cell r="H355"/>
        </row>
        <row r="356">
          <cell r="B356"/>
          <cell r="C356"/>
          <cell r="D356"/>
          <cell r="H356"/>
        </row>
        <row r="357">
          <cell r="B357"/>
          <cell r="C357"/>
          <cell r="D357"/>
          <cell r="H357"/>
        </row>
        <row r="358">
          <cell r="B358"/>
          <cell r="D358"/>
          <cell r="H358"/>
        </row>
        <row r="359">
          <cell r="B359"/>
          <cell r="D359"/>
          <cell r="H359"/>
        </row>
        <row r="360">
          <cell r="B360"/>
          <cell r="D360"/>
          <cell r="H360"/>
        </row>
        <row r="361">
          <cell r="B361"/>
          <cell r="C361"/>
          <cell r="E361"/>
          <cell r="I361"/>
        </row>
        <row r="362">
          <cell r="B362"/>
          <cell r="D362"/>
          <cell r="H362"/>
        </row>
        <row r="363">
          <cell r="B363"/>
          <cell r="C363"/>
          <cell r="E363"/>
          <cell r="I363"/>
        </row>
        <row r="364">
          <cell r="B364"/>
          <cell r="C364"/>
          <cell r="D364"/>
          <cell r="H364"/>
        </row>
        <row r="365">
          <cell r="B365"/>
          <cell r="C365"/>
          <cell r="D365"/>
          <cell r="H365"/>
        </row>
        <row r="366">
          <cell r="B366"/>
          <cell r="D366"/>
          <cell r="H366"/>
        </row>
        <row r="367">
          <cell r="B367"/>
          <cell r="C367"/>
          <cell r="D367"/>
          <cell r="H367"/>
        </row>
        <row r="368">
          <cell r="B368"/>
          <cell r="D368"/>
          <cell r="H368"/>
        </row>
        <row r="369">
          <cell r="C369"/>
          <cell r="E369"/>
          <cell r="I369"/>
        </row>
        <row r="370">
          <cell r="B370"/>
          <cell r="C370"/>
          <cell r="E370"/>
          <cell r="I370"/>
        </row>
        <row r="371">
          <cell r="B371"/>
          <cell r="C371"/>
          <cell r="D371"/>
          <cell r="H371"/>
        </row>
        <row r="372">
          <cell r="B372"/>
          <cell r="C372"/>
          <cell r="D372"/>
          <cell r="H372"/>
        </row>
        <row r="373">
          <cell r="B373"/>
          <cell r="D373"/>
          <cell r="H373"/>
        </row>
        <row r="374">
          <cell r="B374"/>
          <cell r="D374"/>
          <cell r="H374"/>
        </row>
        <row r="375">
          <cell r="B375"/>
          <cell r="C375"/>
          <cell r="D375"/>
          <cell r="H375"/>
        </row>
        <row r="376">
          <cell r="B376"/>
          <cell r="C376"/>
          <cell r="D376"/>
          <cell r="H376"/>
        </row>
        <row r="377">
          <cell r="B377"/>
          <cell r="C377"/>
          <cell r="D377"/>
          <cell r="E377"/>
          <cell r="F377"/>
          <cell r="G377"/>
          <cell r="H377"/>
          <cell r="I377"/>
        </row>
        <row r="378">
          <cell r="F378"/>
          <cell r="I378"/>
        </row>
        <row r="379">
          <cell r="B379"/>
          <cell r="C379"/>
          <cell r="D379"/>
          <cell r="E379"/>
          <cell r="F379"/>
          <cell r="G379"/>
          <cell r="H379"/>
          <cell r="I379"/>
        </row>
      </sheetData>
      <sheetData sheetId="6"/>
      <sheetData sheetId="7"/>
      <sheetData sheetId="8"/>
      <sheetData sheetId="9">
        <row r="2">
          <cell r="Q2">
            <v>-265200936.13997823</v>
          </cell>
        </row>
        <row r="3">
          <cell r="Q3">
            <v>-266108219.77697161</v>
          </cell>
        </row>
        <row r="4">
          <cell r="Q4">
            <v>-267512356.53253359</v>
          </cell>
        </row>
        <row r="5">
          <cell r="Q5">
            <v>-262092191.80744815</v>
          </cell>
        </row>
        <row r="6">
          <cell r="Q6">
            <v>-269691564.66785932</v>
          </cell>
        </row>
        <row r="7">
          <cell r="Q7">
            <v>-270522317.74703509</v>
          </cell>
        </row>
        <row r="8">
          <cell r="Q8">
            <v>-264283935.14517146</v>
          </cell>
        </row>
        <row r="9">
          <cell r="Q9">
            <v>-271373136.02860844</v>
          </cell>
        </row>
        <row r="10">
          <cell r="Q10">
            <v>-272702540.49754202</v>
          </cell>
        </row>
        <row r="11">
          <cell r="Q11">
            <v>-272743105.45177621</v>
          </cell>
        </row>
        <row r="12">
          <cell r="Q12">
            <v>-273747087.89131099</v>
          </cell>
        </row>
        <row r="13">
          <cell r="Q13">
            <v>-251758302.81614637</v>
          </cell>
        </row>
      </sheetData>
      <sheetData sheetId="10">
        <row r="1">
          <cell r="A1" t="str">
            <v>INVERSIONES SANTA FIDELMIRA LIMITADA</v>
          </cell>
          <cell r="B1"/>
          <cell r="C1"/>
          <cell r="D1"/>
          <cell r="E1"/>
          <cell r="F1"/>
          <cell r="G1"/>
          <cell r="H1"/>
          <cell r="I1"/>
        </row>
        <row r="2">
          <cell r="A2" t="str">
            <v>ARRIENDO, EXPLOTACION  BIENES INMUEBLES</v>
          </cell>
          <cell r="B2"/>
          <cell r="C2"/>
          <cell r="D2"/>
          <cell r="E2"/>
          <cell r="F2"/>
          <cell r="G2"/>
          <cell r="H2"/>
          <cell r="I2"/>
        </row>
        <row r="3">
          <cell r="A3" t="str">
            <v>MAIPU #599</v>
          </cell>
          <cell r="B3"/>
          <cell r="C3"/>
          <cell r="D3"/>
          <cell r="E3"/>
          <cell r="F3"/>
          <cell r="G3"/>
          <cell r="H3"/>
          <cell r="I3"/>
        </row>
        <row r="4">
          <cell r="A4" t="str">
            <v>LINARES</v>
          </cell>
          <cell r="B4"/>
          <cell r="C4"/>
          <cell r="D4"/>
          <cell r="E4"/>
          <cell r="F4"/>
          <cell r="G4"/>
          <cell r="H4"/>
          <cell r="I4"/>
        </row>
        <row r="5">
          <cell r="A5" t="str">
            <v>LINARES</v>
          </cell>
          <cell r="B5"/>
          <cell r="C5"/>
          <cell r="D5"/>
          <cell r="E5"/>
          <cell r="F5"/>
          <cell r="G5"/>
          <cell r="H5"/>
          <cell r="I5"/>
        </row>
        <row r="6">
          <cell r="A6" t="str">
            <v>79.991.280-5</v>
          </cell>
          <cell r="B6"/>
          <cell r="C6"/>
          <cell r="D6"/>
          <cell r="E6"/>
          <cell r="F6"/>
          <cell r="G6"/>
          <cell r="H6" t="str">
            <v>Fecha :</v>
          </cell>
          <cell r="I6" t="str">
            <v>14/10/2025</v>
          </cell>
        </row>
        <row r="8">
          <cell r="A8" t="str">
            <v>Balance Tributario</v>
          </cell>
          <cell r="B8"/>
          <cell r="C8"/>
          <cell r="D8"/>
          <cell r="E8"/>
          <cell r="F8"/>
          <cell r="G8"/>
          <cell r="H8"/>
          <cell r="I8"/>
        </row>
        <row r="9">
          <cell r="A9" t="str">
            <v xml:space="preserve"> Desde :Enero/2025</v>
          </cell>
          <cell r="B9"/>
          <cell r="C9"/>
          <cell r="D9"/>
          <cell r="E9"/>
          <cell r="F9"/>
          <cell r="G9"/>
          <cell r="H9"/>
          <cell r="I9"/>
        </row>
        <row r="10">
          <cell r="A10" t="str">
            <v xml:space="preserve"> Hasta :Enero/2025</v>
          </cell>
          <cell r="B10"/>
          <cell r="C10"/>
          <cell r="D10"/>
          <cell r="E10"/>
          <cell r="F10"/>
          <cell r="G10"/>
          <cell r="H10"/>
          <cell r="I10"/>
        </row>
        <row r="12">
          <cell r="A12" t="str">
            <v>Cuenta Contable</v>
          </cell>
          <cell r="B12" t="str">
            <v>Valores Acumulados</v>
          </cell>
          <cell r="C12"/>
          <cell r="D12" t="str">
            <v>Saldos</v>
          </cell>
          <cell r="E12"/>
          <cell r="F12" t="str">
            <v>Inventario</v>
          </cell>
          <cell r="G12"/>
          <cell r="H12" t="str">
            <v>Resultados</v>
          </cell>
          <cell r="I12"/>
        </row>
        <row r="13">
          <cell r="A13"/>
          <cell r="B13" t="str">
            <v>Débitos</v>
          </cell>
          <cell r="C13" t="str">
            <v>Créditos</v>
          </cell>
          <cell r="D13" t="str">
            <v>Deudor</v>
          </cell>
          <cell r="E13" t="str">
            <v>Acreedor</v>
          </cell>
          <cell r="F13" t="str">
            <v>Activo</v>
          </cell>
          <cell r="G13" t="str">
            <v>Pasivo</v>
          </cell>
          <cell r="H13" t="str">
            <v>Pérdida</v>
          </cell>
          <cell r="I13" t="str">
            <v>Ganancia</v>
          </cell>
        </row>
        <row r="14">
          <cell r="A14" t="str">
            <v>1-1-10-01-004  CAJA CHICA OUTLET TALCA</v>
          </cell>
          <cell r="B14">
            <v>2000000</v>
          </cell>
          <cell r="C14">
            <v>737659</v>
          </cell>
          <cell r="D14">
            <v>1262341</v>
          </cell>
          <cell r="E14">
            <v>0</v>
          </cell>
          <cell r="F14">
            <v>1262341</v>
          </cell>
          <cell r="G14">
            <v>0</v>
          </cell>
          <cell r="H14">
            <v>0</v>
          </cell>
          <cell r="I14">
            <v>0</v>
          </cell>
          <cell r="J14">
            <v>1262341</v>
          </cell>
        </row>
        <row r="15">
          <cell r="A15" t="str">
            <v>1-1-10-01-005  CAJA CHICA LINARES</v>
          </cell>
          <cell r="B15">
            <v>0</v>
          </cell>
          <cell r="C15">
            <v>826417</v>
          </cell>
          <cell r="D15">
            <v>0</v>
          </cell>
          <cell r="E15">
            <v>826417</v>
          </cell>
          <cell r="F15">
            <v>0</v>
          </cell>
          <cell r="G15">
            <v>826417</v>
          </cell>
          <cell r="H15">
            <v>0</v>
          </cell>
          <cell r="I15">
            <v>0</v>
          </cell>
          <cell r="J15">
            <v>-826417</v>
          </cell>
        </row>
        <row r="16">
          <cell r="A16" t="str">
            <v>1-1-10-01-007  CAJA CHICA SANTIAGO</v>
          </cell>
          <cell r="B16">
            <v>694050</v>
          </cell>
          <cell r="C16">
            <v>200324</v>
          </cell>
          <cell r="D16">
            <v>493726</v>
          </cell>
          <cell r="E16">
            <v>0</v>
          </cell>
          <cell r="F16">
            <v>493726</v>
          </cell>
          <cell r="G16">
            <v>0</v>
          </cell>
          <cell r="H16">
            <v>0</v>
          </cell>
          <cell r="I16">
            <v>0</v>
          </cell>
          <cell r="J16">
            <v>493726</v>
          </cell>
        </row>
        <row r="17">
          <cell r="A17" t="str">
            <v>1-1-10-02-002  BANCO SANTANDER 25996240</v>
          </cell>
          <cell r="B17">
            <v>2093864697</v>
          </cell>
          <cell r="C17">
            <v>2092159844</v>
          </cell>
          <cell r="D17">
            <v>1704853</v>
          </cell>
          <cell r="E17">
            <v>0</v>
          </cell>
          <cell r="F17">
            <v>1704853</v>
          </cell>
          <cell r="G17">
            <v>0</v>
          </cell>
          <cell r="H17">
            <v>0</v>
          </cell>
          <cell r="I17">
            <v>0</v>
          </cell>
          <cell r="J17">
            <v>1704853</v>
          </cell>
        </row>
        <row r="18">
          <cell r="A18" t="str">
            <v>1-1-10-02-004  BANCO CREDITO E INVERSIONES</v>
          </cell>
          <cell r="B18">
            <v>143935684</v>
          </cell>
          <cell r="C18">
            <v>120252729</v>
          </cell>
          <cell r="D18">
            <v>23682955</v>
          </cell>
          <cell r="E18">
            <v>0</v>
          </cell>
          <cell r="F18">
            <v>23682955</v>
          </cell>
          <cell r="G18">
            <v>0</v>
          </cell>
          <cell r="H18">
            <v>0</v>
          </cell>
          <cell r="I18">
            <v>0</v>
          </cell>
          <cell r="J18">
            <v>23682955</v>
          </cell>
        </row>
        <row r="19">
          <cell r="A19" t="str">
            <v>1-1-10-02-005  BANCO ITAU</v>
          </cell>
          <cell r="B19">
            <v>301805681</v>
          </cell>
          <cell r="C19">
            <v>301265076</v>
          </cell>
          <cell r="D19">
            <v>540605</v>
          </cell>
          <cell r="E19">
            <v>0</v>
          </cell>
          <cell r="F19">
            <v>540605</v>
          </cell>
          <cell r="G19">
            <v>0</v>
          </cell>
          <cell r="H19">
            <v>0</v>
          </cell>
          <cell r="I19">
            <v>0</v>
          </cell>
          <cell r="J19">
            <v>540605</v>
          </cell>
        </row>
        <row r="20">
          <cell r="A20" t="str">
            <v>1-1-10-02-007  BANCO BCI CHILE DOLARES</v>
          </cell>
          <cell r="B20">
            <v>65297857</v>
          </cell>
          <cell r="C20">
            <v>119221020</v>
          </cell>
          <cell r="D20">
            <v>0</v>
          </cell>
          <cell r="E20">
            <v>53923163</v>
          </cell>
          <cell r="F20">
            <v>0</v>
          </cell>
          <cell r="G20">
            <v>53923163</v>
          </cell>
          <cell r="H20">
            <v>0</v>
          </cell>
          <cell r="I20">
            <v>0</v>
          </cell>
          <cell r="J20">
            <v>-53923163</v>
          </cell>
        </row>
        <row r="21">
          <cell r="A21" t="str">
            <v>1-1-10-02-008  BANCO SANTANDER 65625946</v>
          </cell>
          <cell r="B21">
            <v>5244</v>
          </cell>
          <cell r="C21">
            <v>0</v>
          </cell>
          <cell r="D21">
            <v>5244</v>
          </cell>
          <cell r="E21">
            <v>0</v>
          </cell>
          <cell r="F21">
            <v>5244</v>
          </cell>
          <cell r="G21">
            <v>0</v>
          </cell>
          <cell r="H21">
            <v>0</v>
          </cell>
          <cell r="I21">
            <v>0</v>
          </cell>
          <cell r="J21">
            <v>5244</v>
          </cell>
        </row>
        <row r="22">
          <cell r="A22" t="str">
            <v>1-1-20-01-003  ACCIONES CFINRENTAS BANCO SANTANDER</v>
          </cell>
          <cell r="B22">
            <v>11868946</v>
          </cell>
          <cell r="C22">
            <v>0</v>
          </cell>
          <cell r="D22">
            <v>11868946</v>
          </cell>
          <cell r="E22">
            <v>0</v>
          </cell>
          <cell r="F22">
            <v>11868946</v>
          </cell>
          <cell r="G22">
            <v>0</v>
          </cell>
          <cell r="H22">
            <v>0</v>
          </cell>
          <cell r="I22">
            <v>0</v>
          </cell>
          <cell r="J22">
            <v>11868946</v>
          </cell>
        </row>
        <row r="23">
          <cell r="A23" t="str">
            <v>1-1-20-01-006  FONDOS MUTUOS BCI PESOS</v>
          </cell>
          <cell r="B23">
            <v>211932</v>
          </cell>
          <cell r="C23">
            <v>0</v>
          </cell>
          <cell r="D23">
            <v>211932</v>
          </cell>
          <cell r="E23">
            <v>0</v>
          </cell>
          <cell r="F23">
            <v>211932</v>
          </cell>
          <cell r="G23">
            <v>0</v>
          </cell>
          <cell r="H23">
            <v>0</v>
          </cell>
          <cell r="I23">
            <v>0</v>
          </cell>
          <cell r="J23">
            <v>211932</v>
          </cell>
        </row>
        <row r="24">
          <cell r="A24" t="str">
            <v>1-1-20-02-004  DAP BCI USD</v>
          </cell>
          <cell r="B24">
            <v>119221020</v>
          </cell>
          <cell r="C24">
            <v>498287</v>
          </cell>
          <cell r="D24">
            <v>118722733</v>
          </cell>
          <cell r="E24">
            <v>0</v>
          </cell>
          <cell r="F24">
            <v>118722733</v>
          </cell>
          <cell r="G24">
            <v>0</v>
          </cell>
          <cell r="H24">
            <v>0</v>
          </cell>
          <cell r="I24">
            <v>0</v>
          </cell>
          <cell r="J24">
            <v>118722733</v>
          </cell>
        </row>
        <row r="25">
          <cell r="A25" t="str">
            <v>1-1-20-04-004  INVERSIONES FI BTG PACTUAL RENTAS EN PESOS</v>
          </cell>
          <cell r="B25">
            <v>3824660</v>
          </cell>
          <cell r="C25">
            <v>0</v>
          </cell>
          <cell r="D25">
            <v>3824660</v>
          </cell>
          <cell r="E25">
            <v>0</v>
          </cell>
          <cell r="F25">
            <v>3824660</v>
          </cell>
          <cell r="G25">
            <v>0</v>
          </cell>
          <cell r="H25">
            <v>0</v>
          </cell>
          <cell r="I25">
            <v>0</v>
          </cell>
          <cell r="J25">
            <v>3824660</v>
          </cell>
        </row>
        <row r="26">
          <cell r="A26" t="str">
            <v>1-1-20-04-005  INVERSIONES BTG FONDO MINING EN DOLARES</v>
          </cell>
          <cell r="B26">
            <v>0</v>
          </cell>
          <cell r="C26">
            <v>20</v>
          </cell>
          <cell r="D26">
            <v>0</v>
          </cell>
          <cell r="E26">
            <v>20</v>
          </cell>
          <cell r="F26">
            <v>0</v>
          </cell>
          <cell r="G26">
            <v>20</v>
          </cell>
          <cell r="H26">
            <v>0</v>
          </cell>
          <cell r="I26">
            <v>0</v>
          </cell>
          <cell r="J26">
            <v>-20</v>
          </cell>
        </row>
        <row r="27">
          <cell r="A27" t="str">
            <v>1-1-20-04-006  BANCHILE CORREDORES DE BOLSA DOLARES</v>
          </cell>
          <cell r="B27">
            <v>0</v>
          </cell>
          <cell r="C27">
            <v>32432</v>
          </cell>
          <cell r="D27">
            <v>0</v>
          </cell>
          <cell r="E27">
            <v>32432</v>
          </cell>
          <cell r="F27">
            <v>0</v>
          </cell>
          <cell r="G27">
            <v>32432</v>
          </cell>
          <cell r="H27">
            <v>0</v>
          </cell>
          <cell r="I27">
            <v>0</v>
          </cell>
          <cell r="J27">
            <v>-32432</v>
          </cell>
        </row>
        <row r="28">
          <cell r="A28" t="str">
            <v>1-1-20-04-009  ACCIONES BCI CORREDOR BOLSA</v>
          </cell>
          <cell r="B28">
            <v>25539771</v>
          </cell>
          <cell r="C28">
            <v>0</v>
          </cell>
          <cell r="D28">
            <v>25539771</v>
          </cell>
          <cell r="E28">
            <v>0</v>
          </cell>
          <cell r="F28">
            <v>25539771</v>
          </cell>
          <cell r="G28">
            <v>0</v>
          </cell>
          <cell r="H28">
            <v>0</v>
          </cell>
          <cell r="I28">
            <v>0</v>
          </cell>
          <cell r="J28">
            <v>25539771</v>
          </cell>
        </row>
        <row r="29">
          <cell r="A29" t="str">
            <v>1-1-20-04-013  FONDO MUTUO BTG MONEY MARKET PESOS</v>
          </cell>
          <cell r="B29">
            <v>39</v>
          </cell>
          <cell r="C29">
            <v>0</v>
          </cell>
          <cell r="D29">
            <v>39</v>
          </cell>
          <cell r="E29">
            <v>0</v>
          </cell>
          <cell r="F29">
            <v>39</v>
          </cell>
          <cell r="G29">
            <v>0</v>
          </cell>
          <cell r="H29">
            <v>0</v>
          </cell>
          <cell r="I29">
            <v>0</v>
          </cell>
          <cell r="J29">
            <v>39</v>
          </cell>
        </row>
        <row r="30">
          <cell r="A30" t="str">
            <v>1-1-20-05-016  INVERSION PRIME CAPITAL INTERNACIONAL S.A.</v>
          </cell>
          <cell r="B30">
            <v>18708443</v>
          </cell>
          <cell r="C30">
            <v>0</v>
          </cell>
          <cell r="D30">
            <v>18708443</v>
          </cell>
          <cell r="E30">
            <v>0</v>
          </cell>
          <cell r="F30">
            <v>18708443</v>
          </cell>
          <cell r="G30">
            <v>0</v>
          </cell>
          <cell r="H30">
            <v>0</v>
          </cell>
          <cell r="I30">
            <v>0</v>
          </cell>
          <cell r="J30">
            <v>18708443</v>
          </cell>
        </row>
        <row r="31">
          <cell r="A31" t="str">
            <v>1-1-30-01-004  POVISION INGRESOS</v>
          </cell>
          <cell r="B31">
            <v>0</v>
          </cell>
          <cell r="C31">
            <v>140662996</v>
          </cell>
          <cell r="D31">
            <v>0</v>
          </cell>
          <cell r="E31">
            <v>140662996</v>
          </cell>
          <cell r="F31">
            <v>0</v>
          </cell>
          <cell r="G31">
            <v>140662996</v>
          </cell>
          <cell r="H31">
            <v>0</v>
          </cell>
          <cell r="I31">
            <v>0</v>
          </cell>
          <cell r="J31">
            <v>-140662996</v>
          </cell>
        </row>
        <row r="32">
          <cell r="A32" t="str">
            <v>1-1-30-01-005  CLIENTES 2</v>
          </cell>
          <cell r="B32">
            <v>1518548596</v>
          </cell>
          <cell r="C32">
            <v>1530684126</v>
          </cell>
          <cell r="D32">
            <v>0</v>
          </cell>
          <cell r="E32">
            <v>12135530</v>
          </cell>
          <cell r="F32">
            <v>0</v>
          </cell>
          <cell r="G32">
            <v>12135530</v>
          </cell>
          <cell r="H32">
            <v>0</v>
          </cell>
          <cell r="I32">
            <v>0</v>
          </cell>
          <cell r="J32">
            <v>-12135530</v>
          </cell>
        </row>
        <row r="33">
          <cell r="A33" t="str">
            <v>1-1-40-01-002  ANTICIPO SUELDO</v>
          </cell>
          <cell r="B33">
            <v>6080000</v>
          </cell>
          <cell r="C33">
            <v>6080000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1-1-40-01-010  CTA X COBRAR INV.PRIME CAPITAL INTERNACIONAL (EX SEGOVIA SA)</v>
          </cell>
          <cell r="B34">
            <v>0</v>
          </cell>
          <cell r="C34">
            <v>34342370</v>
          </cell>
          <cell r="D34">
            <v>0</v>
          </cell>
          <cell r="E34">
            <v>34342370</v>
          </cell>
          <cell r="F34">
            <v>0</v>
          </cell>
          <cell r="G34">
            <v>34342370</v>
          </cell>
          <cell r="H34">
            <v>0</v>
          </cell>
          <cell r="I34">
            <v>0</v>
          </cell>
          <cell r="J34">
            <v>-34342370</v>
          </cell>
        </row>
        <row r="35">
          <cell r="A35" t="str">
            <v>1-1-40-01-013  ANTICIPO PROVEEDORES 2</v>
          </cell>
          <cell r="B35">
            <v>10</v>
          </cell>
          <cell r="C35">
            <v>26540852</v>
          </cell>
          <cell r="D35">
            <v>0</v>
          </cell>
          <cell r="E35">
            <v>26540842</v>
          </cell>
          <cell r="F35">
            <v>0</v>
          </cell>
          <cell r="G35">
            <v>26540842</v>
          </cell>
          <cell r="H35">
            <v>0</v>
          </cell>
          <cell r="I35">
            <v>0</v>
          </cell>
          <cell r="J35">
            <v>-26540842</v>
          </cell>
        </row>
        <row r="36">
          <cell r="A36" t="str">
            <v>1-1-40-01-016  PRESTAMOS A OPERADORES</v>
          </cell>
          <cell r="B36">
            <v>0</v>
          </cell>
          <cell r="C36">
            <v>1000000</v>
          </cell>
          <cell r="D36">
            <v>0</v>
          </cell>
          <cell r="E36">
            <v>1000000</v>
          </cell>
          <cell r="F36">
            <v>0</v>
          </cell>
          <cell r="G36">
            <v>1000000</v>
          </cell>
          <cell r="H36">
            <v>0</v>
          </cell>
          <cell r="I36">
            <v>0</v>
          </cell>
          <cell r="J36">
            <v>-1000000</v>
          </cell>
        </row>
        <row r="37">
          <cell r="A37" t="str">
            <v>1-1-40-01-017  ANTICIPO PROVEEDOR 3</v>
          </cell>
          <cell r="B37">
            <v>88096358</v>
          </cell>
          <cell r="C37">
            <v>58003516</v>
          </cell>
          <cell r="D37">
            <v>30092842</v>
          </cell>
          <cell r="E37">
            <v>0</v>
          </cell>
          <cell r="F37">
            <v>30092842</v>
          </cell>
          <cell r="G37">
            <v>0</v>
          </cell>
          <cell r="H37">
            <v>0</v>
          </cell>
          <cell r="I37">
            <v>0</v>
          </cell>
          <cell r="J37">
            <v>30092842</v>
          </cell>
        </row>
        <row r="38">
          <cell r="A38" t="str">
            <v>1-1-50-01-005  PAGARE POR COBRAR DOLE</v>
          </cell>
          <cell r="B38">
            <v>0</v>
          </cell>
          <cell r="C38">
            <v>4697349</v>
          </cell>
          <cell r="D38">
            <v>0</v>
          </cell>
          <cell r="E38">
            <v>4697349</v>
          </cell>
          <cell r="F38">
            <v>0</v>
          </cell>
          <cell r="G38">
            <v>4697349</v>
          </cell>
          <cell r="H38">
            <v>0</v>
          </cell>
          <cell r="I38">
            <v>0</v>
          </cell>
          <cell r="J38">
            <v>-4697349</v>
          </cell>
        </row>
        <row r="39">
          <cell r="A39" t="str">
            <v>1-1-50-01-006  CTA, POR COBRAR DINAMITY</v>
          </cell>
          <cell r="B39">
            <v>0</v>
          </cell>
          <cell r="C39">
            <v>2543602</v>
          </cell>
          <cell r="D39">
            <v>0</v>
          </cell>
          <cell r="E39">
            <v>2543602</v>
          </cell>
          <cell r="F39">
            <v>0</v>
          </cell>
          <cell r="G39">
            <v>2543602</v>
          </cell>
          <cell r="H39">
            <v>0</v>
          </cell>
          <cell r="I39">
            <v>0</v>
          </cell>
          <cell r="J39">
            <v>-2543602</v>
          </cell>
        </row>
        <row r="40">
          <cell r="A40" t="str">
            <v>1-1-70-01-001  IVA CREDITO FISCAL</v>
          </cell>
          <cell r="B40">
            <v>113569250</v>
          </cell>
          <cell r="C40">
            <v>113569249</v>
          </cell>
          <cell r="D40">
            <v>1</v>
          </cell>
          <cell r="E40">
            <v>0</v>
          </cell>
          <cell r="F40">
            <v>1</v>
          </cell>
          <cell r="G40">
            <v>0</v>
          </cell>
          <cell r="H40">
            <v>0</v>
          </cell>
          <cell r="I40">
            <v>0</v>
          </cell>
          <cell r="J40">
            <v>1</v>
          </cell>
        </row>
        <row r="41">
          <cell r="A41" t="str">
            <v>1-1-70-01-020  REMANENTE CR FISCAL</v>
          </cell>
          <cell r="B41">
            <v>0</v>
          </cell>
          <cell r="C41">
            <v>73680790</v>
          </cell>
          <cell r="D41">
            <v>0</v>
          </cell>
          <cell r="E41">
            <v>73680790</v>
          </cell>
          <cell r="F41">
            <v>0</v>
          </cell>
          <cell r="G41">
            <v>73680790</v>
          </cell>
          <cell r="H41">
            <v>0</v>
          </cell>
          <cell r="I41">
            <v>0</v>
          </cell>
          <cell r="J41">
            <v>-73680790</v>
          </cell>
        </row>
        <row r="42">
          <cell r="A42" t="str">
            <v>1-2-01-05-021  INMUEBLE CAMPO LINDO</v>
          </cell>
          <cell r="B42">
            <v>1670468</v>
          </cell>
          <cell r="C42">
            <v>0</v>
          </cell>
          <cell r="D42">
            <v>1670468</v>
          </cell>
          <cell r="E42">
            <v>0</v>
          </cell>
          <cell r="F42">
            <v>1670468</v>
          </cell>
          <cell r="G42">
            <v>0</v>
          </cell>
          <cell r="H42">
            <v>0</v>
          </cell>
          <cell r="I42">
            <v>0</v>
          </cell>
          <cell r="J42">
            <v>1670468</v>
          </cell>
        </row>
        <row r="43">
          <cell r="A43" t="str">
            <v>1-2-01-05-022  INMUEBLE CARAHUE</v>
          </cell>
          <cell r="B43">
            <v>0</v>
          </cell>
          <cell r="C43">
            <v>47760478</v>
          </cell>
          <cell r="D43">
            <v>0</v>
          </cell>
          <cell r="E43">
            <v>47760478</v>
          </cell>
          <cell r="F43">
            <v>0</v>
          </cell>
          <cell r="G43">
            <v>47760478</v>
          </cell>
          <cell r="H43">
            <v>0</v>
          </cell>
          <cell r="I43">
            <v>0</v>
          </cell>
          <cell r="J43">
            <v>-47760478</v>
          </cell>
        </row>
        <row r="44">
          <cell r="A44" t="str">
            <v>1-2-01-09-001  PROYECTOS</v>
          </cell>
          <cell r="B44">
            <v>500000</v>
          </cell>
          <cell r="C44">
            <v>0</v>
          </cell>
          <cell r="D44">
            <v>500000</v>
          </cell>
          <cell r="E44">
            <v>0</v>
          </cell>
          <cell r="F44">
            <v>500000</v>
          </cell>
          <cell r="G44">
            <v>0</v>
          </cell>
          <cell r="H44">
            <v>0</v>
          </cell>
          <cell r="I44">
            <v>0</v>
          </cell>
          <cell r="J44">
            <v>500000</v>
          </cell>
        </row>
        <row r="45">
          <cell r="A45" t="str">
            <v>1-2-01-16-001  PROYECTO EL TREBOL LINARES</v>
          </cell>
          <cell r="B45">
            <v>1908154</v>
          </cell>
          <cell r="C45">
            <v>0</v>
          </cell>
          <cell r="D45">
            <v>1908154</v>
          </cell>
          <cell r="E45">
            <v>0</v>
          </cell>
          <cell r="F45">
            <v>1908154</v>
          </cell>
          <cell r="G45">
            <v>0</v>
          </cell>
          <cell r="H45">
            <v>0</v>
          </cell>
          <cell r="I45">
            <v>0</v>
          </cell>
          <cell r="J45">
            <v>1908154</v>
          </cell>
        </row>
        <row r="46">
          <cell r="A46" t="str">
            <v>1-2-02-05-015  DEP. ACUM. ESPACIO ALONSO DE CORDOVA</v>
          </cell>
          <cell r="B46">
            <v>0</v>
          </cell>
          <cell r="C46">
            <v>17</v>
          </cell>
          <cell r="D46">
            <v>0</v>
          </cell>
          <cell r="E46">
            <v>17</v>
          </cell>
          <cell r="F46">
            <v>0</v>
          </cell>
          <cell r="G46">
            <v>17</v>
          </cell>
          <cell r="H46">
            <v>0</v>
          </cell>
          <cell r="I46">
            <v>0</v>
          </cell>
          <cell r="J46">
            <v>-17</v>
          </cell>
        </row>
        <row r="47">
          <cell r="A47" t="str">
            <v>1-2-02-05-021  DEPRECACUM. PROY.GIMNASIO LINARES</v>
          </cell>
          <cell r="B47">
            <v>0</v>
          </cell>
          <cell r="C47">
            <v>30638834</v>
          </cell>
          <cell r="D47">
            <v>0</v>
          </cell>
          <cell r="E47">
            <v>30638834</v>
          </cell>
          <cell r="F47">
            <v>0</v>
          </cell>
          <cell r="G47">
            <v>30638834</v>
          </cell>
          <cell r="H47">
            <v>0</v>
          </cell>
          <cell r="I47">
            <v>0</v>
          </cell>
          <cell r="J47">
            <v>-30638834</v>
          </cell>
        </row>
        <row r="48">
          <cell r="A48" t="str">
            <v>1-2-02-05-023  DEP.ACUM. PARQUE LOS EMBAJADORES</v>
          </cell>
          <cell r="B48">
            <v>14408726</v>
          </cell>
          <cell r="C48">
            <v>0</v>
          </cell>
          <cell r="D48">
            <v>14408726</v>
          </cell>
          <cell r="E48">
            <v>0</v>
          </cell>
          <cell r="F48">
            <v>14408726</v>
          </cell>
          <cell r="G48">
            <v>0</v>
          </cell>
          <cell r="H48">
            <v>0</v>
          </cell>
          <cell r="I48">
            <v>0</v>
          </cell>
          <cell r="J48">
            <v>14408726</v>
          </cell>
        </row>
        <row r="49">
          <cell r="A49" t="str">
            <v>1-2-02-05-028  DEP. ACUM. INM. LOS MAITENES</v>
          </cell>
          <cell r="B49">
            <v>0</v>
          </cell>
          <cell r="C49">
            <v>27935942</v>
          </cell>
          <cell r="D49">
            <v>0</v>
          </cell>
          <cell r="E49">
            <v>27935942</v>
          </cell>
          <cell r="F49">
            <v>0</v>
          </cell>
          <cell r="G49">
            <v>27935942</v>
          </cell>
          <cell r="H49">
            <v>0</v>
          </cell>
          <cell r="I49">
            <v>0</v>
          </cell>
          <cell r="J49">
            <v>-27935942</v>
          </cell>
        </row>
        <row r="50">
          <cell r="A50" t="str">
            <v>1-2-02-06-001  DEP. ACUM. BIENES RAICES</v>
          </cell>
          <cell r="B50">
            <v>0</v>
          </cell>
          <cell r="C50">
            <v>32100620</v>
          </cell>
          <cell r="D50">
            <v>0</v>
          </cell>
          <cell r="E50">
            <v>32100620</v>
          </cell>
          <cell r="F50">
            <v>0</v>
          </cell>
          <cell r="G50">
            <v>32100620</v>
          </cell>
          <cell r="H50">
            <v>0</v>
          </cell>
          <cell r="I50">
            <v>0</v>
          </cell>
          <cell r="J50">
            <v>-32100620</v>
          </cell>
        </row>
        <row r="51">
          <cell r="A51" t="str">
            <v>1-3-01-02-003  BOLETA GARANTIAS LOCATARIOS (ORDEN)</v>
          </cell>
          <cell r="B51">
            <v>0</v>
          </cell>
          <cell r="C51">
            <v>56006156</v>
          </cell>
          <cell r="D51">
            <v>0</v>
          </cell>
          <cell r="E51">
            <v>56006156</v>
          </cell>
          <cell r="F51">
            <v>0</v>
          </cell>
          <cell r="G51">
            <v>56006156</v>
          </cell>
          <cell r="H51">
            <v>0</v>
          </cell>
          <cell r="I51">
            <v>0</v>
          </cell>
          <cell r="J51">
            <v>-56006156</v>
          </cell>
        </row>
        <row r="52">
          <cell r="A52" t="str">
            <v>1-3-04-01-002  RETENCIONES JUDICIALES CAUSAS</v>
          </cell>
          <cell r="B52">
            <v>7268527</v>
          </cell>
          <cell r="C52">
            <v>0</v>
          </cell>
          <cell r="D52">
            <v>7268527</v>
          </cell>
          <cell r="E52">
            <v>0</v>
          </cell>
          <cell r="F52">
            <v>7268527</v>
          </cell>
          <cell r="G52">
            <v>0</v>
          </cell>
          <cell r="H52">
            <v>0</v>
          </cell>
          <cell r="I52">
            <v>0</v>
          </cell>
          <cell r="J52">
            <v>7268527</v>
          </cell>
        </row>
        <row r="53">
          <cell r="A53" t="str">
            <v>2-1-01-01-010  USO LINEA CRÉDITO BANCO SANTANDER</v>
          </cell>
          <cell r="B53">
            <v>876920946</v>
          </cell>
          <cell r="C53">
            <v>767030052</v>
          </cell>
          <cell r="D53">
            <v>109890894</v>
          </cell>
          <cell r="E53">
            <v>0</v>
          </cell>
          <cell r="F53">
            <v>109890894</v>
          </cell>
          <cell r="G53">
            <v>0</v>
          </cell>
          <cell r="H53">
            <v>0</v>
          </cell>
          <cell r="I53">
            <v>0</v>
          </cell>
          <cell r="J53">
            <v>-109890894</v>
          </cell>
        </row>
        <row r="54">
          <cell r="A54" t="str">
            <v>2-1-01-01-011  USO LINEA CREDITO BANCO BCI</v>
          </cell>
          <cell r="B54">
            <v>42407907</v>
          </cell>
          <cell r="C54">
            <v>42368602</v>
          </cell>
          <cell r="D54">
            <v>39305</v>
          </cell>
          <cell r="E54">
            <v>0</v>
          </cell>
          <cell r="F54">
            <v>39305</v>
          </cell>
          <cell r="G54">
            <v>0</v>
          </cell>
          <cell r="H54">
            <v>0</v>
          </cell>
          <cell r="I54">
            <v>0</v>
          </cell>
          <cell r="J54">
            <v>-39305</v>
          </cell>
        </row>
        <row r="55">
          <cell r="A55" t="str">
            <v>2-1-01-02-001  OBLIG. LEASING 1 SUR 1990 C/PLAZO</v>
          </cell>
          <cell r="B55">
            <v>7712306</v>
          </cell>
          <cell r="C55">
            <v>0</v>
          </cell>
          <cell r="D55">
            <v>7712306</v>
          </cell>
          <cell r="E55">
            <v>0</v>
          </cell>
          <cell r="F55">
            <v>7712306</v>
          </cell>
          <cell r="G55">
            <v>0</v>
          </cell>
          <cell r="H55">
            <v>0</v>
          </cell>
          <cell r="I55">
            <v>0</v>
          </cell>
          <cell r="J55">
            <v>-7712306</v>
          </cell>
        </row>
        <row r="56">
          <cell r="A56" t="str">
            <v>2-1-01-02-002  OBLIG. LEASING SAN JAVIER C/PLAZO</v>
          </cell>
          <cell r="B56">
            <v>6631309</v>
          </cell>
          <cell r="C56">
            <v>0</v>
          </cell>
          <cell r="D56">
            <v>6631309</v>
          </cell>
          <cell r="E56">
            <v>0</v>
          </cell>
          <cell r="F56">
            <v>6631309</v>
          </cell>
          <cell r="G56">
            <v>0</v>
          </cell>
          <cell r="H56">
            <v>0</v>
          </cell>
          <cell r="I56">
            <v>0</v>
          </cell>
          <cell r="J56">
            <v>-6631309</v>
          </cell>
        </row>
        <row r="57">
          <cell r="A57" t="str">
            <v>2-1-01-02-003  OBLIG. LEASING COLIN 0240 TALCA</v>
          </cell>
          <cell r="B57">
            <v>12481074</v>
          </cell>
          <cell r="C57">
            <v>0</v>
          </cell>
          <cell r="D57">
            <v>12481074</v>
          </cell>
          <cell r="E57">
            <v>0</v>
          </cell>
          <cell r="F57">
            <v>12481074</v>
          </cell>
          <cell r="G57">
            <v>0</v>
          </cell>
          <cell r="H57">
            <v>0</v>
          </cell>
          <cell r="I57">
            <v>0</v>
          </cell>
          <cell r="J57">
            <v>-12481074</v>
          </cell>
        </row>
        <row r="58">
          <cell r="A58" t="str">
            <v>2-1-01-02-004  OBLIG. LEASING C. SATELITE C/PLAZO</v>
          </cell>
          <cell r="B58">
            <v>18349404</v>
          </cell>
          <cell r="C58">
            <v>0</v>
          </cell>
          <cell r="D58">
            <v>18349404</v>
          </cell>
          <cell r="E58">
            <v>0</v>
          </cell>
          <cell r="F58">
            <v>18349404</v>
          </cell>
          <cell r="G58">
            <v>0</v>
          </cell>
          <cell r="H58">
            <v>0</v>
          </cell>
          <cell r="I58">
            <v>0</v>
          </cell>
          <cell r="J58">
            <v>-18349404</v>
          </cell>
        </row>
        <row r="59">
          <cell r="A59" t="str">
            <v>2-1-01-02-005  OBLIG. LEASING 11 ORIENTE C/PLAZO</v>
          </cell>
          <cell r="B59">
            <v>6611844</v>
          </cell>
          <cell r="C59">
            <v>0</v>
          </cell>
          <cell r="D59">
            <v>6611844</v>
          </cell>
          <cell r="E59">
            <v>0</v>
          </cell>
          <cell r="F59">
            <v>6611844</v>
          </cell>
          <cell r="G59">
            <v>0</v>
          </cell>
          <cell r="H59">
            <v>0</v>
          </cell>
          <cell r="I59">
            <v>0</v>
          </cell>
          <cell r="J59">
            <v>-6611844</v>
          </cell>
        </row>
        <row r="60">
          <cell r="A60" t="str">
            <v>2-1-01-02-006  OBLIG. LEASING MAIPU 556 C/PLAZO</v>
          </cell>
          <cell r="B60">
            <v>5851687</v>
          </cell>
          <cell r="C60">
            <v>0</v>
          </cell>
          <cell r="D60">
            <v>5851687</v>
          </cell>
          <cell r="E60">
            <v>0</v>
          </cell>
          <cell r="F60">
            <v>5851687</v>
          </cell>
          <cell r="G60">
            <v>0</v>
          </cell>
          <cell r="H60">
            <v>0</v>
          </cell>
          <cell r="I60">
            <v>0</v>
          </cell>
          <cell r="J60">
            <v>-5851687</v>
          </cell>
        </row>
        <row r="61">
          <cell r="A61" t="str">
            <v>2-1-01-02-007  OBLIG. LEASING BRASIL 648 C/PLAZO</v>
          </cell>
          <cell r="B61">
            <v>4486294</v>
          </cell>
          <cell r="C61">
            <v>0</v>
          </cell>
          <cell r="D61">
            <v>4486294</v>
          </cell>
          <cell r="E61">
            <v>0</v>
          </cell>
          <cell r="F61">
            <v>4486294</v>
          </cell>
          <cell r="G61">
            <v>0</v>
          </cell>
          <cell r="H61">
            <v>0</v>
          </cell>
          <cell r="I61">
            <v>0</v>
          </cell>
          <cell r="J61">
            <v>-4486294</v>
          </cell>
        </row>
        <row r="62">
          <cell r="A62" t="str">
            <v>2-1-01-02-008  OBLIG. LEASING VIAL 224 C/PLAZO</v>
          </cell>
          <cell r="B62">
            <v>5364048</v>
          </cell>
          <cell r="C62">
            <v>0</v>
          </cell>
          <cell r="D62">
            <v>5364048</v>
          </cell>
          <cell r="E62">
            <v>0</v>
          </cell>
          <cell r="F62">
            <v>5364048</v>
          </cell>
          <cell r="G62">
            <v>0</v>
          </cell>
          <cell r="H62">
            <v>0</v>
          </cell>
          <cell r="I62">
            <v>0</v>
          </cell>
          <cell r="J62">
            <v>-5364048</v>
          </cell>
        </row>
        <row r="63">
          <cell r="A63" t="str">
            <v>2-1-01-02-009  OBLIG. LEASING TALCA COLIN C/PLAZO</v>
          </cell>
          <cell r="B63">
            <v>48533762</v>
          </cell>
          <cell r="C63">
            <v>0</v>
          </cell>
          <cell r="D63">
            <v>48533762</v>
          </cell>
          <cell r="E63">
            <v>0</v>
          </cell>
          <cell r="F63">
            <v>48533762</v>
          </cell>
          <cell r="G63">
            <v>0</v>
          </cell>
          <cell r="H63">
            <v>0</v>
          </cell>
          <cell r="I63">
            <v>0</v>
          </cell>
          <cell r="J63">
            <v>-48533762</v>
          </cell>
        </row>
        <row r="64">
          <cell r="A64" t="str">
            <v>2-1-01-02-010  OBLIG. HIPOTECARIO C/PLAZO</v>
          </cell>
          <cell r="B64">
            <v>14431944</v>
          </cell>
          <cell r="C64">
            <v>0</v>
          </cell>
          <cell r="D64">
            <v>14431944</v>
          </cell>
          <cell r="E64">
            <v>0</v>
          </cell>
          <cell r="F64">
            <v>14431944</v>
          </cell>
          <cell r="G64">
            <v>0</v>
          </cell>
          <cell r="H64">
            <v>0</v>
          </cell>
          <cell r="I64">
            <v>0</v>
          </cell>
          <cell r="J64">
            <v>-14431944</v>
          </cell>
        </row>
        <row r="65">
          <cell r="A65" t="str">
            <v>2-1-01-02-011  OBLIG.LEASING VALPO  C/P</v>
          </cell>
          <cell r="B65">
            <v>23697968</v>
          </cell>
          <cell r="C65">
            <v>0</v>
          </cell>
          <cell r="D65">
            <v>23697968</v>
          </cell>
          <cell r="E65">
            <v>0</v>
          </cell>
          <cell r="F65">
            <v>23697968</v>
          </cell>
          <cell r="G65">
            <v>0</v>
          </cell>
          <cell r="H65">
            <v>0</v>
          </cell>
          <cell r="I65">
            <v>0</v>
          </cell>
          <cell r="J65">
            <v>-23697968</v>
          </cell>
        </row>
        <row r="66">
          <cell r="A66" t="str">
            <v>2-1-01-02-012  OBLIG.LEASING CAUQUENES C/P</v>
          </cell>
          <cell r="B66">
            <v>8847837</v>
          </cell>
          <cell r="C66">
            <v>0</v>
          </cell>
          <cell r="D66">
            <v>8847837</v>
          </cell>
          <cell r="E66">
            <v>0</v>
          </cell>
          <cell r="F66">
            <v>8847837</v>
          </cell>
          <cell r="G66">
            <v>0</v>
          </cell>
          <cell r="H66">
            <v>0</v>
          </cell>
          <cell r="I66">
            <v>0</v>
          </cell>
          <cell r="J66">
            <v>-8847837</v>
          </cell>
        </row>
        <row r="67">
          <cell r="A67" t="str">
            <v>2-1-01-02-013  OBLIG. LEASING OUTLET C/P</v>
          </cell>
          <cell r="B67">
            <v>64845470</v>
          </cell>
          <cell r="C67">
            <v>0</v>
          </cell>
          <cell r="D67">
            <v>64845470</v>
          </cell>
          <cell r="E67">
            <v>0</v>
          </cell>
          <cell r="F67">
            <v>64845470</v>
          </cell>
          <cell r="G67">
            <v>0</v>
          </cell>
          <cell r="H67">
            <v>0</v>
          </cell>
          <cell r="I67">
            <v>0</v>
          </cell>
          <cell r="J67">
            <v>-64845470</v>
          </cell>
        </row>
        <row r="68">
          <cell r="A68" t="str">
            <v>2-1-01-02-014  OBLIG HIPOTECARIO LOS MORRO CP</v>
          </cell>
          <cell r="B68">
            <v>34076314</v>
          </cell>
          <cell r="C68">
            <v>0</v>
          </cell>
          <cell r="D68">
            <v>34076314</v>
          </cell>
          <cell r="E68">
            <v>0</v>
          </cell>
          <cell r="F68">
            <v>34076314</v>
          </cell>
          <cell r="G68">
            <v>0</v>
          </cell>
          <cell r="H68">
            <v>0</v>
          </cell>
          <cell r="I68">
            <v>0</v>
          </cell>
          <cell r="J68">
            <v>-34076314</v>
          </cell>
        </row>
        <row r="69">
          <cell r="A69" t="str">
            <v>2-1-01-03-002  OBLIG LEASING VEHICULOS  CP 2</v>
          </cell>
          <cell r="B69">
            <v>3440757</v>
          </cell>
          <cell r="C69">
            <v>0</v>
          </cell>
          <cell r="D69">
            <v>3440757</v>
          </cell>
          <cell r="E69">
            <v>0</v>
          </cell>
          <cell r="F69">
            <v>3440757</v>
          </cell>
          <cell r="G69">
            <v>0</v>
          </cell>
          <cell r="H69">
            <v>0</v>
          </cell>
          <cell r="I69">
            <v>0</v>
          </cell>
          <cell r="J69">
            <v>-3440757</v>
          </cell>
        </row>
        <row r="70">
          <cell r="A70" t="str">
            <v>2-1-02-01-003  REMUNERACIONES POR PAGAR</v>
          </cell>
          <cell r="B70">
            <v>54394687</v>
          </cell>
          <cell r="C70">
            <v>54394687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2-1-02-01-005  MUTUOS POR PAGAR</v>
          </cell>
          <cell r="B71">
            <v>204597839</v>
          </cell>
          <cell r="C71">
            <v>0</v>
          </cell>
          <cell r="D71">
            <v>204597839</v>
          </cell>
          <cell r="E71">
            <v>0</v>
          </cell>
          <cell r="F71">
            <v>204597839</v>
          </cell>
          <cell r="G71">
            <v>0</v>
          </cell>
          <cell r="H71">
            <v>0</v>
          </cell>
          <cell r="I71">
            <v>0</v>
          </cell>
          <cell r="J71">
            <v>-204597839</v>
          </cell>
        </row>
        <row r="72">
          <cell r="A72" t="str">
            <v>2-1-03-01-001  GARANTIAS RECIBIDAS ARRENDATARIOS (CLP)</v>
          </cell>
          <cell r="B72">
            <v>187810747</v>
          </cell>
          <cell r="C72">
            <v>0</v>
          </cell>
          <cell r="D72">
            <v>187810747</v>
          </cell>
          <cell r="E72">
            <v>0</v>
          </cell>
          <cell r="F72">
            <v>187810747</v>
          </cell>
          <cell r="G72">
            <v>0</v>
          </cell>
          <cell r="H72">
            <v>0</v>
          </cell>
          <cell r="I72">
            <v>0</v>
          </cell>
          <cell r="J72">
            <v>-187810747</v>
          </cell>
        </row>
        <row r="73">
          <cell r="A73" t="str">
            <v>2-1-03-01-002  GARANTIAS RECIBIDAS ARRENDATARIOS (UF)</v>
          </cell>
          <cell r="B73">
            <v>0</v>
          </cell>
          <cell r="C73">
            <v>744603</v>
          </cell>
          <cell r="D73">
            <v>0</v>
          </cell>
          <cell r="E73">
            <v>744603</v>
          </cell>
          <cell r="F73">
            <v>0</v>
          </cell>
          <cell r="G73">
            <v>744603</v>
          </cell>
          <cell r="H73">
            <v>0</v>
          </cell>
          <cell r="I73">
            <v>0</v>
          </cell>
          <cell r="J73">
            <v>744603</v>
          </cell>
        </row>
        <row r="74">
          <cell r="A74" t="str">
            <v>2-1-03-01-009  BOLETA GARANTIAS LOCATARIOS (ORDEN)</v>
          </cell>
          <cell r="B74">
            <v>56006156</v>
          </cell>
          <cell r="C74">
            <v>0</v>
          </cell>
          <cell r="D74">
            <v>56006156</v>
          </cell>
          <cell r="E74">
            <v>0</v>
          </cell>
          <cell r="F74">
            <v>56006156</v>
          </cell>
          <cell r="G74">
            <v>0</v>
          </cell>
          <cell r="H74">
            <v>0</v>
          </cell>
          <cell r="I74">
            <v>0</v>
          </cell>
          <cell r="J74">
            <v>-56006156</v>
          </cell>
        </row>
        <row r="75">
          <cell r="A75" t="str">
            <v>2-1-03-02-001  ANTICIPO DE CLIENTES</v>
          </cell>
          <cell r="B75">
            <v>17524032</v>
          </cell>
          <cell r="C75">
            <v>15039384</v>
          </cell>
          <cell r="D75">
            <v>2484648</v>
          </cell>
          <cell r="E75">
            <v>0</v>
          </cell>
          <cell r="F75">
            <v>2484648</v>
          </cell>
          <cell r="G75">
            <v>0</v>
          </cell>
          <cell r="H75">
            <v>0</v>
          </cell>
          <cell r="I75">
            <v>0</v>
          </cell>
          <cell r="J75">
            <v>-2484648</v>
          </cell>
        </row>
        <row r="76">
          <cell r="A76" t="str">
            <v>2-1-03-02-005  DEVENGO INTERESES CTA, POR COBRAR DINAMITY</v>
          </cell>
          <cell r="B76">
            <v>182491</v>
          </cell>
          <cell r="C76">
            <v>0</v>
          </cell>
          <cell r="D76">
            <v>182491</v>
          </cell>
          <cell r="E76">
            <v>0</v>
          </cell>
          <cell r="F76">
            <v>182491</v>
          </cell>
          <cell r="G76">
            <v>0</v>
          </cell>
          <cell r="H76">
            <v>0</v>
          </cell>
          <cell r="I76">
            <v>0</v>
          </cell>
          <cell r="J76">
            <v>-182491</v>
          </cell>
        </row>
        <row r="77">
          <cell r="A77" t="str">
            <v>2-1-04-01-001  IVA DEBITO FISCAL</v>
          </cell>
          <cell r="B77">
            <v>184327597</v>
          </cell>
          <cell r="C77">
            <v>184327597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2-1-04-01-002  IMPUESTO UNICO</v>
          </cell>
          <cell r="B78">
            <v>17362339</v>
          </cell>
          <cell r="C78">
            <v>12855073</v>
          </cell>
          <cell r="D78">
            <v>4507266</v>
          </cell>
          <cell r="E78">
            <v>0</v>
          </cell>
          <cell r="F78">
            <v>4507266</v>
          </cell>
          <cell r="G78">
            <v>0</v>
          </cell>
          <cell r="H78">
            <v>0</v>
          </cell>
          <cell r="I78">
            <v>0</v>
          </cell>
          <cell r="J78">
            <v>-4507266</v>
          </cell>
        </row>
        <row r="79">
          <cell r="A79" t="str">
            <v>2-1-04-01-003  IMPUESTO 2° CATEGORIA</v>
          </cell>
          <cell r="B79">
            <v>2202248</v>
          </cell>
          <cell r="C79">
            <v>2006724</v>
          </cell>
          <cell r="D79">
            <v>195524</v>
          </cell>
          <cell r="E79">
            <v>0</v>
          </cell>
          <cell r="F79">
            <v>195524</v>
          </cell>
          <cell r="G79">
            <v>0</v>
          </cell>
          <cell r="H79">
            <v>0</v>
          </cell>
          <cell r="I79">
            <v>0</v>
          </cell>
          <cell r="J79">
            <v>-195524</v>
          </cell>
        </row>
        <row r="80">
          <cell r="A80" t="str">
            <v>2-1-04-01-005  IMPOSICIONES POR PAGAR</v>
          </cell>
          <cell r="B80">
            <v>11664265</v>
          </cell>
          <cell r="C80">
            <v>9993103</v>
          </cell>
          <cell r="D80">
            <v>1671162</v>
          </cell>
          <cell r="E80">
            <v>0</v>
          </cell>
          <cell r="F80">
            <v>1671162</v>
          </cell>
          <cell r="G80">
            <v>0</v>
          </cell>
          <cell r="H80">
            <v>0</v>
          </cell>
          <cell r="I80">
            <v>0</v>
          </cell>
          <cell r="J80">
            <v>-1671162</v>
          </cell>
        </row>
        <row r="81">
          <cell r="A81" t="str">
            <v>2-1-06-01-001  PROVEEDORES 2</v>
          </cell>
          <cell r="B81">
            <v>1167142919</v>
          </cell>
          <cell r="C81">
            <v>1276027749</v>
          </cell>
          <cell r="D81">
            <v>0</v>
          </cell>
          <cell r="E81">
            <v>108884830</v>
          </cell>
          <cell r="F81">
            <v>0</v>
          </cell>
          <cell r="G81">
            <v>108884830</v>
          </cell>
          <cell r="H81">
            <v>0</v>
          </cell>
          <cell r="I81">
            <v>0</v>
          </cell>
          <cell r="J81">
            <v>108884830</v>
          </cell>
        </row>
        <row r="82">
          <cell r="A82" t="str">
            <v>2-1-06-01-002  HONORARIOS POR PAGAR 2</v>
          </cell>
          <cell r="B82">
            <v>11023714</v>
          </cell>
          <cell r="C82">
            <v>12603413</v>
          </cell>
          <cell r="D82">
            <v>0</v>
          </cell>
          <cell r="E82">
            <v>1579699</v>
          </cell>
          <cell r="F82">
            <v>0</v>
          </cell>
          <cell r="G82">
            <v>1579699</v>
          </cell>
          <cell r="H82">
            <v>0</v>
          </cell>
          <cell r="I82">
            <v>0</v>
          </cell>
          <cell r="J82">
            <v>1579699</v>
          </cell>
        </row>
        <row r="83">
          <cell r="A83" t="str">
            <v>2-1-06-01-006  CHEQUES GIRADOS POR PAGAR 2</v>
          </cell>
          <cell r="B83">
            <v>57667868</v>
          </cell>
          <cell r="C83">
            <v>0</v>
          </cell>
          <cell r="D83">
            <v>57667868</v>
          </cell>
          <cell r="E83">
            <v>0</v>
          </cell>
          <cell r="F83">
            <v>57667868</v>
          </cell>
          <cell r="G83">
            <v>0</v>
          </cell>
          <cell r="H83">
            <v>0</v>
          </cell>
          <cell r="I83">
            <v>0</v>
          </cell>
          <cell r="J83">
            <v>-57667868</v>
          </cell>
        </row>
        <row r="84">
          <cell r="A84" t="str">
            <v>3-2-01-01-002  RESULTADOS ACUMULADOS</v>
          </cell>
          <cell r="B84">
            <v>124027164</v>
          </cell>
          <cell r="C84">
            <v>119507573</v>
          </cell>
          <cell r="D84">
            <v>4519591</v>
          </cell>
          <cell r="E84">
            <v>0</v>
          </cell>
          <cell r="F84">
            <v>4519591</v>
          </cell>
          <cell r="G84">
            <v>0</v>
          </cell>
          <cell r="H84">
            <v>0</v>
          </cell>
          <cell r="I84">
            <v>0</v>
          </cell>
          <cell r="J84">
            <v>-4519591</v>
          </cell>
        </row>
        <row r="85">
          <cell r="A85" t="str">
            <v>4-1-01-01-001  ARRIENDO FIJO</v>
          </cell>
          <cell r="B85">
            <v>50161741</v>
          </cell>
          <cell r="C85">
            <v>864513064</v>
          </cell>
          <cell r="D85">
            <v>0</v>
          </cell>
          <cell r="E85">
            <v>814351323</v>
          </cell>
          <cell r="F85">
            <v>0</v>
          </cell>
          <cell r="G85">
            <v>0</v>
          </cell>
          <cell r="H85">
            <v>0</v>
          </cell>
          <cell r="I85">
            <v>814351323</v>
          </cell>
          <cell r="J85">
            <v>814351323</v>
          </cell>
        </row>
        <row r="86">
          <cell r="A86" t="str">
            <v>4-1-01-01-002  ARRIENDO VARIABLE</v>
          </cell>
          <cell r="B86">
            <v>38023338</v>
          </cell>
          <cell r="C86">
            <v>243435477</v>
          </cell>
          <cell r="D86">
            <v>0</v>
          </cell>
          <cell r="E86">
            <v>205412139</v>
          </cell>
          <cell r="F86">
            <v>0</v>
          </cell>
          <cell r="G86">
            <v>0</v>
          </cell>
          <cell r="H86">
            <v>0</v>
          </cell>
          <cell r="I86">
            <v>205412139</v>
          </cell>
          <cell r="J86">
            <v>205412139</v>
          </cell>
        </row>
        <row r="87">
          <cell r="A87" t="str">
            <v>4-1-01-01-005  CONSUMOS DE AGUAS</v>
          </cell>
          <cell r="B87">
            <v>34689</v>
          </cell>
          <cell r="C87">
            <v>7132972</v>
          </cell>
          <cell r="D87">
            <v>0</v>
          </cell>
          <cell r="E87">
            <v>7098283</v>
          </cell>
          <cell r="F87">
            <v>0</v>
          </cell>
          <cell r="G87">
            <v>0</v>
          </cell>
          <cell r="H87">
            <v>0</v>
          </cell>
          <cell r="I87">
            <v>7098283</v>
          </cell>
          <cell r="J87">
            <v>7098283</v>
          </cell>
        </row>
        <row r="88">
          <cell r="A88" t="str">
            <v>4-1-01-01-006  CONSUMOS DE LUZ</v>
          </cell>
          <cell r="B88">
            <v>2326</v>
          </cell>
          <cell r="C88">
            <v>131790666</v>
          </cell>
          <cell r="D88">
            <v>0</v>
          </cell>
          <cell r="E88">
            <v>131788340</v>
          </cell>
          <cell r="F88">
            <v>0</v>
          </cell>
          <cell r="G88">
            <v>0</v>
          </cell>
          <cell r="H88">
            <v>0</v>
          </cell>
          <cell r="I88">
            <v>131788340</v>
          </cell>
          <cell r="J88">
            <v>131788340</v>
          </cell>
        </row>
        <row r="89">
          <cell r="A89" t="str">
            <v>4-1-01-01-007  CONSUMOS DE GAS</v>
          </cell>
          <cell r="B89">
            <v>0</v>
          </cell>
          <cell r="C89">
            <v>2245058</v>
          </cell>
          <cell r="D89">
            <v>0</v>
          </cell>
          <cell r="E89">
            <v>2245058</v>
          </cell>
          <cell r="F89">
            <v>0</v>
          </cell>
          <cell r="G89">
            <v>0</v>
          </cell>
          <cell r="H89">
            <v>0</v>
          </cell>
          <cell r="I89">
            <v>2245058</v>
          </cell>
          <cell r="J89">
            <v>2245058</v>
          </cell>
        </row>
        <row r="90">
          <cell r="A90" t="str">
            <v>4-1-01-01-008  GASTOS COMUNES</v>
          </cell>
          <cell r="B90">
            <v>1861386</v>
          </cell>
          <cell r="C90">
            <v>82655825</v>
          </cell>
          <cell r="D90">
            <v>0</v>
          </cell>
          <cell r="E90">
            <v>80794439</v>
          </cell>
          <cell r="F90">
            <v>0</v>
          </cell>
          <cell r="G90">
            <v>0</v>
          </cell>
          <cell r="H90">
            <v>0</v>
          </cell>
          <cell r="I90">
            <v>80794439</v>
          </cell>
          <cell r="J90">
            <v>80794439</v>
          </cell>
        </row>
        <row r="91">
          <cell r="A91" t="str">
            <v>4-1-01-01-013  VARIOS</v>
          </cell>
          <cell r="B91">
            <v>140662996</v>
          </cell>
          <cell r="C91">
            <v>0</v>
          </cell>
          <cell r="D91">
            <v>140662996</v>
          </cell>
          <cell r="E91">
            <v>0</v>
          </cell>
          <cell r="F91">
            <v>0</v>
          </cell>
          <cell r="G91">
            <v>0</v>
          </cell>
          <cell r="H91">
            <v>140662996</v>
          </cell>
          <cell r="I91">
            <v>0</v>
          </cell>
          <cell r="J91">
            <v>-140662996</v>
          </cell>
        </row>
        <row r="92">
          <cell r="A92" t="str">
            <v>4-2-01-01-005  INTERESES DE PAGARE</v>
          </cell>
          <cell r="B92">
            <v>0</v>
          </cell>
          <cell r="C92">
            <v>182491</v>
          </cell>
          <cell r="D92">
            <v>0</v>
          </cell>
          <cell r="E92">
            <v>182491</v>
          </cell>
          <cell r="F92">
            <v>0</v>
          </cell>
          <cell r="G92">
            <v>0</v>
          </cell>
          <cell r="H92">
            <v>0</v>
          </cell>
          <cell r="I92">
            <v>182491</v>
          </cell>
          <cell r="J92">
            <v>182491</v>
          </cell>
        </row>
        <row r="93">
          <cell r="A93" t="str">
            <v>4-2-01-01-006  INTERESES DAP US$ BCI</v>
          </cell>
          <cell r="B93">
            <v>0</v>
          </cell>
          <cell r="C93">
            <v>1358450</v>
          </cell>
          <cell r="D93">
            <v>0</v>
          </cell>
          <cell r="E93">
            <v>1358450</v>
          </cell>
          <cell r="F93">
            <v>0</v>
          </cell>
          <cell r="G93">
            <v>0</v>
          </cell>
          <cell r="H93">
            <v>0</v>
          </cell>
          <cell r="I93">
            <v>1358450</v>
          </cell>
          <cell r="J93">
            <v>1358450</v>
          </cell>
        </row>
        <row r="94">
          <cell r="A94" t="str">
            <v>4-2-01-01-018  DIVIDENDOS ACCIONES EXALMAC1</v>
          </cell>
          <cell r="B94">
            <v>0</v>
          </cell>
          <cell r="C94">
            <v>49776586</v>
          </cell>
          <cell r="D94">
            <v>0</v>
          </cell>
          <cell r="E94">
            <v>49776586</v>
          </cell>
          <cell r="F94">
            <v>0</v>
          </cell>
          <cell r="G94">
            <v>0</v>
          </cell>
          <cell r="H94">
            <v>0</v>
          </cell>
          <cell r="I94">
            <v>49776586</v>
          </cell>
          <cell r="J94">
            <v>49776586</v>
          </cell>
        </row>
        <row r="95">
          <cell r="A95" t="str">
            <v>4-2-01-02-008  ARQUITEC Y HABILITACION  LOCALES</v>
          </cell>
          <cell r="B95">
            <v>0</v>
          </cell>
          <cell r="C95">
            <v>1554319</v>
          </cell>
          <cell r="D95">
            <v>0</v>
          </cell>
          <cell r="E95">
            <v>1554319</v>
          </cell>
          <cell r="F95">
            <v>0</v>
          </cell>
          <cell r="G95">
            <v>0</v>
          </cell>
          <cell r="H95">
            <v>0</v>
          </cell>
          <cell r="I95">
            <v>1554319</v>
          </cell>
          <cell r="J95">
            <v>1554319</v>
          </cell>
        </row>
        <row r="96">
          <cell r="A96" t="str">
            <v>5-1-01-01-001  SERVICIOS DE GUARDIAS</v>
          </cell>
          <cell r="B96">
            <v>65186117</v>
          </cell>
          <cell r="C96">
            <v>0</v>
          </cell>
          <cell r="D96">
            <v>65186117</v>
          </cell>
          <cell r="E96">
            <v>0</v>
          </cell>
          <cell r="F96">
            <v>0</v>
          </cell>
          <cell r="G96">
            <v>0</v>
          </cell>
          <cell r="H96">
            <v>65186117</v>
          </cell>
          <cell r="I96">
            <v>0</v>
          </cell>
          <cell r="J96">
            <v>-65186117</v>
          </cell>
        </row>
        <row r="97">
          <cell r="A97" t="str">
            <v>5-1-01-01-005  ARTICULOS DE SEGURIDAD</v>
          </cell>
          <cell r="B97">
            <v>86051</v>
          </cell>
          <cell r="C97">
            <v>0</v>
          </cell>
          <cell r="D97">
            <v>86051</v>
          </cell>
          <cell r="E97">
            <v>0</v>
          </cell>
          <cell r="F97">
            <v>0</v>
          </cell>
          <cell r="G97">
            <v>0</v>
          </cell>
          <cell r="H97">
            <v>86051</v>
          </cell>
          <cell r="I97">
            <v>0</v>
          </cell>
          <cell r="J97">
            <v>-86051</v>
          </cell>
        </row>
        <row r="98">
          <cell r="A98" t="str">
            <v>5-1-01-02-002  INSUMOS BANOS</v>
          </cell>
          <cell r="B98">
            <v>1033902</v>
          </cell>
          <cell r="C98">
            <v>43056</v>
          </cell>
          <cell r="D98">
            <v>990846</v>
          </cell>
          <cell r="E98">
            <v>0</v>
          </cell>
          <cell r="F98">
            <v>0</v>
          </cell>
          <cell r="G98">
            <v>0</v>
          </cell>
          <cell r="H98">
            <v>990846</v>
          </cell>
          <cell r="I98">
            <v>0</v>
          </cell>
          <cell r="J98">
            <v>-990846</v>
          </cell>
        </row>
        <row r="99">
          <cell r="A99" t="str">
            <v>5-1-01-02-003  RETIRO BASURA O ESCOMBROS</v>
          </cell>
          <cell r="B99">
            <v>1892214</v>
          </cell>
          <cell r="C99">
            <v>0</v>
          </cell>
          <cell r="D99">
            <v>1892214</v>
          </cell>
          <cell r="E99">
            <v>0</v>
          </cell>
          <cell r="F99">
            <v>0</v>
          </cell>
          <cell r="G99">
            <v>0</v>
          </cell>
          <cell r="H99">
            <v>1892214</v>
          </cell>
          <cell r="I99">
            <v>0</v>
          </cell>
          <cell r="J99">
            <v>-1892214</v>
          </cell>
        </row>
        <row r="100">
          <cell r="A100" t="str">
            <v>5-1-01-03-001  SERVICIOS DE JARDINES Y PAISAJISMO</v>
          </cell>
          <cell r="B100">
            <v>1912480</v>
          </cell>
          <cell r="C100">
            <v>126050</v>
          </cell>
          <cell r="D100">
            <v>1786430</v>
          </cell>
          <cell r="E100">
            <v>0</v>
          </cell>
          <cell r="F100">
            <v>0</v>
          </cell>
          <cell r="G100">
            <v>0</v>
          </cell>
          <cell r="H100">
            <v>1786430</v>
          </cell>
          <cell r="I100">
            <v>0</v>
          </cell>
          <cell r="J100">
            <v>-1786430</v>
          </cell>
        </row>
        <row r="101">
          <cell r="A101" t="str">
            <v>5-1-01-03-003  CONTROL DE PLAGAS</v>
          </cell>
          <cell r="B101">
            <v>1652992</v>
          </cell>
          <cell r="C101">
            <v>0</v>
          </cell>
          <cell r="D101">
            <v>1652992</v>
          </cell>
          <cell r="E101">
            <v>0</v>
          </cell>
          <cell r="F101">
            <v>0</v>
          </cell>
          <cell r="G101">
            <v>0</v>
          </cell>
          <cell r="H101">
            <v>1652992</v>
          </cell>
          <cell r="I101">
            <v>0</v>
          </cell>
          <cell r="J101">
            <v>-1652992</v>
          </cell>
        </row>
        <row r="102">
          <cell r="A102" t="str">
            <v>5-1-01-04-001  MANTENCION TRANSPORTE VERTICAL</v>
          </cell>
          <cell r="B102">
            <v>2721966</v>
          </cell>
          <cell r="C102">
            <v>0</v>
          </cell>
          <cell r="D102">
            <v>2721966</v>
          </cell>
          <cell r="E102">
            <v>0</v>
          </cell>
          <cell r="F102">
            <v>0</v>
          </cell>
          <cell r="G102">
            <v>0</v>
          </cell>
          <cell r="H102">
            <v>2721966</v>
          </cell>
          <cell r="I102">
            <v>0</v>
          </cell>
          <cell r="J102">
            <v>-2721966</v>
          </cell>
        </row>
        <row r="103">
          <cell r="A103" t="str">
            <v>5-1-01-04-002  MANTENCION TRANSPORTE VERTICAL CORRECTIVA</v>
          </cell>
          <cell r="B103">
            <v>1013870</v>
          </cell>
          <cell r="C103">
            <v>0</v>
          </cell>
          <cell r="D103">
            <v>1013870</v>
          </cell>
          <cell r="E103">
            <v>0</v>
          </cell>
          <cell r="F103">
            <v>0</v>
          </cell>
          <cell r="G103">
            <v>0</v>
          </cell>
          <cell r="H103">
            <v>1013870</v>
          </cell>
          <cell r="I103">
            <v>0</v>
          </cell>
          <cell r="J103">
            <v>-1013870</v>
          </cell>
        </row>
        <row r="104">
          <cell r="A104" t="str">
            <v>5-1-01-04-007  MANTENCION CCTV</v>
          </cell>
          <cell r="B104">
            <v>5012468</v>
          </cell>
          <cell r="C104">
            <v>0</v>
          </cell>
          <cell r="D104">
            <v>5012468</v>
          </cell>
          <cell r="E104">
            <v>0</v>
          </cell>
          <cell r="F104">
            <v>0</v>
          </cell>
          <cell r="G104">
            <v>0</v>
          </cell>
          <cell r="H104">
            <v>5012468</v>
          </cell>
          <cell r="I104">
            <v>0</v>
          </cell>
          <cell r="J104">
            <v>-5012468</v>
          </cell>
        </row>
        <row r="105">
          <cell r="A105" t="str">
            <v>5-1-01-04-009  MANTENCION ESTANQUES AGUA POTABLE</v>
          </cell>
          <cell r="B105">
            <v>600000</v>
          </cell>
          <cell r="C105">
            <v>0</v>
          </cell>
          <cell r="D105">
            <v>600000</v>
          </cell>
          <cell r="E105">
            <v>0</v>
          </cell>
          <cell r="F105">
            <v>0</v>
          </cell>
          <cell r="G105">
            <v>0</v>
          </cell>
          <cell r="H105">
            <v>600000</v>
          </cell>
          <cell r="I105">
            <v>0</v>
          </cell>
          <cell r="J105">
            <v>-600000</v>
          </cell>
        </row>
        <row r="106">
          <cell r="A106" t="str">
            <v>5-1-01-04-010  MANTENCION ALCANTARILLADOS</v>
          </cell>
          <cell r="B106">
            <v>327584</v>
          </cell>
          <cell r="C106">
            <v>0</v>
          </cell>
          <cell r="D106">
            <v>327584</v>
          </cell>
          <cell r="E106">
            <v>0</v>
          </cell>
          <cell r="F106">
            <v>0</v>
          </cell>
          <cell r="G106">
            <v>0</v>
          </cell>
          <cell r="H106">
            <v>327584</v>
          </cell>
          <cell r="I106">
            <v>0</v>
          </cell>
          <cell r="J106">
            <v>-327584</v>
          </cell>
        </row>
        <row r="107">
          <cell r="A107" t="str">
            <v>5-1-01-04-011  MANTENCION GENERAL</v>
          </cell>
          <cell r="B107">
            <v>15017070</v>
          </cell>
          <cell r="C107">
            <v>0</v>
          </cell>
          <cell r="D107">
            <v>15017070</v>
          </cell>
          <cell r="E107">
            <v>0</v>
          </cell>
          <cell r="F107">
            <v>0</v>
          </cell>
          <cell r="G107">
            <v>0</v>
          </cell>
          <cell r="H107">
            <v>15017070</v>
          </cell>
          <cell r="I107">
            <v>0</v>
          </cell>
          <cell r="J107">
            <v>-15017070</v>
          </cell>
        </row>
        <row r="108">
          <cell r="A108" t="str">
            <v>5-1-01-04-014  MANTENCION VEHICULOS</v>
          </cell>
          <cell r="B108">
            <v>450500</v>
          </cell>
          <cell r="C108">
            <v>0</v>
          </cell>
          <cell r="D108">
            <v>450500</v>
          </cell>
          <cell r="E108">
            <v>0</v>
          </cell>
          <cell r="F108">
            <v>0</v>
          </cell>
          <cell r="G108">
            <v>0</v>
          </cell>
          <cell r="H108">
            <v>450500</v>
          </cell>
          <cell r="I108">
            <v>0</v>
          </cell>
          <cell r="J108">
            <v>-450500</v>
          </cell>
        </row>
        <row r="109">
          <cell r="A109" t="str">
            <v>5-1-01-04-017  MANTENCION CLIMA CORRECTIVA</v>
          </cell>
          <cell r="B109">
            <v>165000</v>
          </cell>
          <cell r="C109">
            <v>0</v>
          </cell>
          <cell r="D109">
            <v>165000</v>
          </cell>
          <cell r="E109">
            <v>0</v>
          </cell>
          <cell r="F109">
            <v>0</v>
          </cell>
          <cell r="G109">
            <v>0</v>
          </cell>
          <cell r="H109">
            <v>165000</v>
          </cell>
          <cell r="I109">
            <v>0</v>
          </cell>
          <cell r="J109">
            <v>-165000</v>
          </cell>
        </row>
        <row r="110">
          <cell r="A110" t="str">
            <v>5-1-01-04-018  MANTENCION ELECTRICA CORRECTIVA</v>
          </cell>
          <cell r="B110">
            <v>383500</v>
          </cell>
          <cell r="C110">
            <v>0</v>
          </cell>
          <cell r="D110">
            <v>383500</v>
          </cell>
          <cell r="E110">
            <v>0</v>
          </cell>
          <cell r="F110">
            <v>0</v>
          </cell>
          <cell r="G110">
            <v>0</v>
          </cell>
          <cell r="H110">
            <v>383500</v>
          </cell>
          <cell r="I110">
            <v>0</v>
          </cell>
          <cell r="J110">
            <v>-383500</v>
          </cell>
        </row>
        <row r="111">
          <cell r="A111" t="str">
            <v>5-1-01-05-006  COMPRAS PETROLEO GAS BENCINA</v>
          </cell>
          <cell r="B111">
            <v>2067922</v>
          </cell>
          <cell r="C111">
            <v>0</v>
          </cell>
          <cell r="D111">
            <v>2067922</v>
          </cell>
          <cell r="E111">
            <v>0</v>
          </cell>
          <cell r="F111">
            <v>0</v>
          </cell>
          <cell r="G111">
            <v>0</v>
          </cell>
          <cell r="H111">
            <v>2067922</v>
          </cell>
          <cell r="I111">
            <v>0</v>
          </cell>
          <cell r="J111">
            <v>-2067922</v>
          </cell>
        </row>
        <row r="112">
          <cell r="A112" t="str">
            <v>5-1-01-06-001  CONSUMO AGUA COMUN</v>
          </cell>
          <cell r="B112">
            <v>6970696</v>
          </cell>
          <cell r="C112">
            <v>893637</v>
          </cell>
          <cell r="D112">
            <v>6077059</v>
          </cell>
          <cell r="E112">
            <v>0</v>
          </cell>
          <cell r="F112">
            <v>0</v>
          </cell>
          <cell r="G112">
            <v>0</v>
          </cell>
          <cell r="H112">
            <v>6077059</v>
          </cell>
          <cell r="I112">
            <v>0</v>
          </cell>
          <cell r="J112">
            <v>-6077059</v>
          </cell>
        </row>
        <row r="113">
          <cell r="A113" t="str">
            <v>5-1-01-06-002  CONSUMO ENERGIA COMUN</v>
          </cell>
          <cell r="B113">
            <v>138429421</v>
          </cell>
          <cell r="C113">
            <v>341</v>
          </cell>
          <cell r="D113">
            <v>138429080</v>
          </cell>
          <cell r="E113">
            <v>0</v>
          </cell>
          <cell r="F113">
            <v>0</v>
          </cell>
          <cell r="G113">
            <v>0</v>
          </cell>
          <cell r="H113">
            <v>138429080</v>
          </cell>
          <cell r="I113">
            <v>0</v>
          </cell>
          <cell r="J113">
            <v>-138429080</v>
          </cell>
        </row>
        <row r="114">
          <cell r="A114" t="str">
            <v>5-1-01-06-003  GASTO COMUN PROPIO</v>
          </cell>
          <cell r="B114">
            <v>391474</v>
          </cell>
          <cell r="C114">
            <v>0</v>
          </cell>
          <cell r="D114">
            <v>391474</v>
          </cell>
          <cell r="E114">
            <v>0</v>
          </cell>
          <cell r="F114">
            <v>0</v>
          </cell>
          <cell r="G114">
            <v>0</v>
          </cell>
          <cell r="H114">
            <v>391474</v>
          </cell>
          <cell r="I114">
            <v>0</v>
          </cell>
          <cell r="J114">
            <v>-391474</v>
          </cell>
        </row>
        <row r="115">
          <cell r="A115" t="str">
            <v>5-1-01-06-004  SERVICIOS INFORMATICOS DE SISTEMAS</v>
          </cell>
          <cell r="B115">
            <v>1622516</v>
          </cell>
          <cell r="C115">
            <v>3373562</v>
          </cell>
          <cell r="D115">
            <v>0</v>
          </cell>
          <cell r="E115">
            <v>1751046</v>
          </cell>
          <cell r="F115">
            <v>0</v>
          </cell>
          <cell r="G115">
            <v>0</v>
          </cell>
          <cell r="H115">
            <v>0</v>
          </cell>
          <cell r="I115">
            <v>1751046</v>
          </cell>
          <cell r="J115">
            <v>1751046</v>
          </cell>
        </row>
        <row r="116">
          <cell r="A116" t="str">
            <v>5-1-01-07-001  TELEFONO</v>
          </cell>
          <cell r="B116">
            <v>143259</v>
          </cell>
          <cell r="C116">
            <v>0</v>
          </cell>
          <cell r="D116">
            <v>143259</v>
          </cell>
          <cell r="E116">
            <v>0</v>
          </cell>
          <cell r="F116">
            <v>0</v>
          </cell>
          <cell r="G116">
            <v>0</v>
          </cell>
          <cell r="H116">
            <v>143259</v>
          </cell>
          <cell r="I116">
            <v>0</v>
          </cell>
          <cell r="J116">
            <v>-143259</v>
          </cell>
        </row>
        <row r="117">
          <cell r="A117" t="str">
            <v>5-1-01-07-002  INTERNET</v>
          </cell>
          <cell r="B117">
            <v>2083353</v>
          </cell>
          <cell r="C117">
            <v>0</v>
          </cell>
          <cell r="D117">
            <v>2083353</v>
          </cell>
          <cell r="E117">
            <v>0</v>
          </cell>
          <cell r="F117">
            <v>0</v>
          </cell>
          <cell r="G117">
            <v>0</v>
          </cell>
          <cell r="H117">
            <v>2083353</v>
          </cell>
          <cell r="I117">
            <v>0</v>
          </cell>
          <cell r="J117">
            <v>-2083353</v>
          </cell>
        </row>
        <row r="118">
          <cell r="A118" t="str">
            <v>5-1-01-07-005  ARTICULOS DE OFICINA</v>
          </cell>
          <cell r="B118">
            <v>330028</v>
          </cell>
          <cell r="C118">
            <v>0</v>
          </cell>
          <cell r="D118">
            <v>330028</v>
          </cell>
          <cell r="E118">
            <v>0</v>
          </cell>
          <cell r="F118">
            <v>0</v>
          </cell>
          <cell r="G118">
            <v>0</v>
          </cell>
          <cell r="H118">
            <v>330028</v>
          </cell>
          <cell r="I118">
            <v>0</v>
          </cell>
          <cell r="J118">
            <v>-330028</v>
          </cell>
        </row>
        <row r="119">
          <cell r="A119" t="str">
            <v>5-1-01-08-001  SEGUROS BIENES FISICOS Y RESPONSABILIDAD CIVIL</v>
          </cell>
          <cell r="B119">
            <v>10224932</v>
          </cell>
          <cell r="C119">
            <v>10</v>
          </cell>
          <cell r="D119">
            <v>10224922</v>
          </cell>
          <cell r="E119">
            <v>0</v>
          </cell>
          <cell r="F119">
            <v>0</v>
          </cell>
          <cell r="G119">
            <v>0</v>
          </cell>
          <cell r="H119">
            <v>10224922</v>
          </cell>
          <cell r="I119">
            <v>0</v>
          </cell>
          <cell r="J119">
            <v>-10224922</v>
          </cell>
        </row>
        <row r="120">
          <cell r="A120" t="str">
            <v>5-1-01-10-003  REMUNERACIONES TENS Y RRHH</v>
          </cell>
          <cell r="B120">
            <v>4505698</v>
          </cell>
          <cell r="C120">
            <v>0</v>
          </cell>
          <cell r="D120">
            <v>4505698</v>
          </cell>
          <cell r="E120">
            <v>0</v>
          </cell>
          <cell r="F120">
            <v>0</v>
          </cell>
          <cell r="G120">
            <v>0</v>
          </cell>
          <cell r="H120">
            <v>4505698</v>
          </cell>
          <cell r="I120">
            <v>0</v>
          </cell>
          <cell r="J120">
            <v>-4505698</v>
          </cell>
        </row>
        <row r="121">
          <cell r="A121" t="str">
            <v>5-1-01-11-001  HABILITACIÓN LOCALES OUTLET FLORIDA</v>
          </cell>
          <cell r="B121">
            <v>17572354</v>
          </cell>
          <cell r="C121">
            <v>0</v>
          </cell>
          <cell r="D121">
            <v>17572354</v>
          </cell>
          <cell r="E121">
            <v>0</v>
          </cell>
          <cell r="F121">
            <v>0</v>
          </cell>
          <cell r="G121">
            <v>0</v>
          </cell>
          <cell r="H121">
            <v>17572354</v>
          </cell>
          <cell r="I121">
            <v>0</v>
          </cell>
          <cell r="J121">
            <v>-17572354</v>
          </cell>
        </row>
        <row r="122">
          <cell r="A122" t="str">
            <v>5-1-01-11-002  HABILITACIÓN LOCALES STRIP FLORIDA</v>
          </cell>
          <cell r="B122">
            <v>20401797</v>
          </cell>
          <cell r="C122">
            <v>0</v>
          </cell>
          <cell r="D122">
            <v>20401797</v>
          </cell>
          <cell r="E122">
            <v>0</v>
          </cell>
          <cell r="F122">
            <v>0</v>
          </cell>
          <cell r="G122">
            <v>0</v>
          </cell>
          <cell r="H122">
            <v>20401797</v>
          </cell>
          <cell r="I122">
            <v>0</v>
          </cell>
          <cell r="J122">
            <v>-20401797</v>
          </cell>
        </row>
        <row r="123">
          <cell r="A123" t="str">
            <v>5-1-03-01-004  PROMOCIONES VARIAS</v>
          </cell>
          <cell r="B123">
            <v>933615</v>
          </cell>
          <cell r="C123">
            <v>0</v>
          </cell>
          <cell r="D123">
            <v>933615</v>
          </cell>
          <cell r="E123">
            <v>0</v>
          </cell>
          <cell r="F123">
            <v>0</v>
          </cell>
          <cell r="G123">
            <v>0</v>
          </cell>
          <cell r="H123">
            <v>933615</v>
          </cell>
          <cell r="I123">
            <v>0</v>
          </cell>
          <cell r="J123">
            <v>-933615</v>
          </cell>
        </row>
        <row r="124">
          <cell r="A124" t="str">
            <v>5-1-03-01-005  GASTOS DERECHO AUTOR</v>
          </cell>
          <cell r="B124">
            <v>492621</v>
          </cell>
          <cell r="C124">
            <v>0</v>
          </cell>
          <cell r="D124">
            <v>492621</v>
          </cell>
          <cell r="E124">
            <v>0</v>
          </cell>
          <cell r="F124">
            <v>0</v>
          </cell>
          <cell r="G124">
            <v>0</v>
          </cell>
          <cell r="H124">
            <v>492621</v>
          </cell>
          <cell r="I124">
            <v>0</v>
          </cell>
          <cell r="J124">
            <v>-492621</v>
          </cell>
        </row>
        <row r="125">
          <cell r="A125" t="str">
            <v>5-2-01-01-001  REMUNERACIONES BRUTAS</v>
          </cell>
          <cell r="B125">
            <v>75101345</v>
          </cell>
          <cell r="C125">
            <v>0</v>
          </cell>
          <cell r="D125">
            <v>75101345</v>
          </cell>
          <cell r="E125">
            <v>0</v>
          </cell>
          <cell r="F125">
            <v>0</v>
          </cell>
          <cell r="G125">
            <v>0</v>
          </cell>
          <cell r="H125">
            <v>75101345</v>
          </cell>
          <cell r="I125">
            <v>0</v>
          </cell>
          <cell r="J125">
            <v>-75101345</v>
          </cell>
        </row>
        <row r="126">
          <cell r="A126" t="str">
            <v>5-2-01-01-002  APORTES PATRONALES</v>
          </cell>
          <cell r="B126">
            <v>1773857</v>
          </cell>
          <cell r="C126">
            <v>0</v>
          </cell>
          <cell r="D126">
            <v>1773857</v>
          </cell>
          <cell r="E126">
            <v>0</v>
          </cell>
          <cell r="F126">
            <v>0</v>
          </cell>
          <cell r="G126">
            <v>0</v>
          </cell>
          <cell r="H126">
            <v>1773857</v>
          </cell>
          <cell r="I126">
            <v>0</v>
          </cell>
          <cell r="J126">
            <v>-1773857</v>
          </cell>
        </row>
        <row r="127">
          <cell r="A127" t="str">
            <v>5-2-01-01-004  GRATIFICACIONES</v>
          </cell>
          <cell r="B127">
            <v>4115555</v>
          </cell>
          <cell r="C127">
            <v>0</v>
          </cell>
          <cell r="D127">
            <v>4115555</v>
          </cell>
          <cell r="E127">
            <v>0</v>
          </cell>
          <cell r="F127">
            <v>0</v>
          </cell>
          <cell r="G127">
            <v>0</v>
          </cell>
          <cell r="H127">
            <v>4115555</v>
          </cell>
          <cell r="I127">
            <v>0</v>
          </cell>
          <cell r="J127">
            <v>-4115555</v>
          </cell>
        </row>
        <row r="128">
          <cell r="A128" t="str">
            <v>5-2-01-01-006  OTROS NO IMPONIBLES</v>
          </cell>
          <cell r="B128">
            <v>2539318</v>
          </cell>
          <cell r="C128">
            <v>0</v>
          </cell>
          <cell r="D128">
            <v>2539318</v>
          </cell>
          <cell r="E128">
            <v>0</v>
          </cell>
          <cell r="F128">
            <v>0</v>
          </cell>
          <cell r="G128">
            <v>0</v>
          </cell>
          <cell r="H128">
            <v>2539318</v>
          </cell>
          <cell r="I128">
            <v>0</v>
          </cell>
          <cell r="J128">
            <v>-2539318</v>
          </cell>
        </row>
        <row r="129">
          <cell r="A129" t="str">
            <v>5-2-01-01-008  SEGURO COMPLEMENTARIO SALUD</v>
          </cell>
          <cell r="B129">
            <v>1129979</v>
          </cell>
          <cell r="C129">
            <v>0</v>
          </cell>
          <cell r="D129">
            <v>1129979</v>
          </cell>
          <cell r="E129">
            <v>0</v>
          </cell>
          <cell r="F129">
            <v>0</v>
          </cell>
          <cell r="G129">
            <v>0</v>
          </cell>
          <cell r="H129">
            <v>1129979</v>
          </cell>
          <cell r="I129">
            <v>0</v>
          </cell>
          <cell r="J129">
            <v>-1129979</v>
          </cell>
        </row>
        <row r="130">
          <cell r="A130" t="str">
            <v>5-2-01-02-002  HONORARIOS SERVICIOS LEGALES</v>
          </cell>
          <cell r="B130">
            <v>1528438</v>
          </cell>
          <cell r="C130">
            <v>0</v>
          </cell>
          <cell r="D130">
            <v>1528438</v>
          </cell>
          <cell r="E130">
            <v>0</v>
          </cell>
          <cell r="F130">
            <v>0</v>
          </cell>
          <cell r="G130">
            <v>0</v>
          </cell>
          <cell r="H130">
            <v>1528438</v>
          </cell>
          <cell r="I130">
            <v>0</v>
          </cell>
          <cell r="J130">
            <v>-1528438</v>
          </cell>
        </row>
        <row r="131">
          <cell r="A131" t="str">
            <v>5-2-01-02-003  ASESORIAS Y CONSULTORIAS</v>
          </cell>
          <cell r="B131">
            <v>34691572</v>
          </cell>
          <cell r="C131">
            <v>0</v>
          </cell>
          <cell r="D131">
            <v>34691572</v>
          </cell>
          <cell r="E131">
            <v>0</v>
          </cell>
          <cell r="F131">
            <v>0</v>
          </cell>
          <cell r="G131">
            <v>0</v>
          </cell>
          <cell r="H131">
            <v>34691572</v>
          </cell>
          <cell r="I131">
            <v>0</v>
          </cell>
          <cell r="J131">
            <v>-34691572</v>
          </cell>
        </row>
        <row r="132">
          <cell r="A132" t="str">
            <v>5-2-01-02-004  SERVICIOS DE ASEO</v>
          </cell>
          <cell r="B132">
            <v>21362890</v>
          </cell>
          <cell r="C132">
            <v>749397</v>
          </cell>
          <cell r="D132">
            <v>20613493</v>
          </cell>
          <cell r="E132">
            <v>0</v>
          </cell>
          <cell r="F132">
            <v>0</v>
          </cell>
          <cell r="G132">
            <v>0</v>
          </cell>
          <cell r="H132">
            <v>20613493</v>
          </cell>
          <cell r="I132">
            <v>0</v>
          </cell>
          <cell r="J132">
            <v>-20613493</v>
          </cell>
        </row>
        <row r="133">
          <cell r="A133" t="str">
            <v>5-2-01-02-007  SERVICIOS DE PUBLICIDAD Y MARKETING</v>
          </cell>
          <cell r="B133">
            <v>8433518</v>
          </cell>
          <cell r="C133">
            <v>1180000</v>
          </cell>
          <cell r="D133">
            <v>7253518</v>
          </cell>
          <cell r="E133">
            <v>0</v>
          </cell>
          <cell r="F133">
            <v>0</v>
          </cell>
          <cell r="G133">
            <v>0</v>
          </cell>
          <cell r="H133">
            <v>7253518</v>
          </cell>
          <cell r="I133">
            <v>0</v>
          </cell>
          <cell r="J133">
            <v>-7253518</v>
          </cell>
        </row>
        <row r="134">
          <cell r="A134" t="str">
            <v>5-2-01-03-002  GASTOS NOTARIALES</v>
          </cell>
          <cell r="B134">
            <v>937000</v>
          </cell>
          <cell r="C134">
            <v>0</v>
          </cell>
          <cell r="D134">
            <v>937000</v>
          </cell>
          <cell r="E134">
            <v>0</v>
          </cell>
          <cell r="F134">
            <v>0</v>
          </cell>
          <cell r="G134">
            <v>0</v>
          </cell>
          <cell r="H134">
            <v>937000</v>
          </cell>
          <cell r="I134">
            <v>0</v>
          </cell>
          <cell r="J134">
            <v>-937000</v>
          </cell>
        </row>
        <row r="135">
          <cell r="A135" t="str">
            <v>5-2-01-03-003  PATENTES</v>
          </cell>
          <cell r="B135">
            <v>115007677</v>
          </cell>
          <cell r="C135">
            <v>0</v>
          </cell>
          <cell r="D135">
            <v>115007677</v>
          </cell>
          <cell r="E135">
            <v>0</v>
          </cell>
          <cell r="F135">
            <v>0</v>
          </cell>
          <cell r="G135">
            <v>0</v>
          </cell>
          <cell r="H135">
            <v>115007677</v>
          </cell>
          <cell r="I135">
            <v>0</v>
          </cell>
          <cell r="J135">
            <v>-115007677</v>
          </cell>
        </row>
        <row r="136">
          <cell r="A136" t="str">
            <v>5-2-01-03-004  GASTO IVA PROPORCIONAL</v>
          </cell>
          <cell r="B136">
            <v>9439730</v>
          </cell>
          <cell r="C136">
            <v>0</v>
          </cell>
          <cell r="D136">
            <v>9439730</v>
          </cell>
          <cell r="E136">
            <v>0</v>
          </cell>
          <cell r="F136">
            <v>0</v>
          </cell>
          <cell r="G136">
            <v>0</v>
          </cell>
          <cell r="H136">
            <v>9439730</v>
          </cell>
          <cell r="I136">
            <v>0</v>
          </cell>
          <cell r="J136">
            <v>-9439730</v>
          </cell>
        </row>
        <row r="137">
          <cell r="A137" t="str">
            <v>5-2-01-03-006  GASTOS GENERALES</v>
          </cell>
          <cell r="B137">
            <v>8353869</v>
          </cell>
          <cell r="C137">
            <v>94075</v>
          </cell>
          <cell r="D137">
            <v>8259794</v>
          </cell>
          <cell r="E137">
            <v>0</v>
          </cell>
          <cell r="F137">
            <v>0</v>
          </cell>
          <cell r="G137">
            <v>0</v>
          </cell>
          <cell r="H137">
            <v>8259794</v>
          </cell>
          <cell r="I137">
            <v>0</v>
          </cell>
          <cell r="J137">
            <v>-8259794</v>
          </cell>
        </row>
        <row r="138">
          <cell r="A138" t="str">
            <v>5-2-01-05-001  GASTOS DE REPRESENTACION</v>
          </cell>
          <cell r="B138">
            <v>3378991</v>
          </cell>
          <cell r="C138">
            <v>5</v>
          </cell>
          <cell r="D138">
            <v>3378986</v>
          </cell>
          <cell r="E138">
            <v>0</v>
          </cell>
          <cell r="F138">
            <v>0</v>
          </cell>
          <cell r="G138">
            <v>0</v>
          </cell>
          <cell r="H138">
            <v>3378986</v>
          </cell>
          <cell r="I138">
            <v>0</v>
          </cell>
          <cell r="J138">
            <v>-3378986</v>
          </cell>
        </row>
        <row r="139">
          <cell r="A139" t="str">
            <v>5-2-01-06-001  ARRIENDOS</v>
          </cell>
          <cell r="B139">
            <v>4280156</v>
          </cell>
          <cell r="C139">
            <v>0</v>
          </cell>
          <cell r="D139">
            <v>4280156</v>
          </cell>
          <cell r="E139">
            <v>0</v>
          </cell>
          <cell r="F139">
            <v>0</v>
          </cell>
          <cell r="G139">
            <v>0</v>
          </cell>
          <cell r="H139">
            <v>4280156</v>
          </cell>
          <cell r="I139">
            <v>0</v>
          </cell>
          <cell r="J139">
            <v>-4280156</v>
          </cell>
        </row>
        <row r="140">
          <cell r="A140" t="str">
            <v>5-2-01-07-001  CONTRIBUCIONES</v>
          </cell>
          <cell r="B140">
            <v>2330194</v>
          </cell>
          <cell r="C140">
            <v>0</v>
          </cell>
          <cell r="D140">
            <v>2330194</v>
          </cell>
          <cell r="E140">
            <v>0</v>
          </cell>
          <cell r="F140">
            <v>0</v>
          </cell>
          <cell r="G140">
            <v>0</v>
          </cell>
          <cell r="H140">
            <v>2330194</v>
          </cell>
          <cell r="I140">
            <v>0</v>
          </cell>
          <cell r="J140">
            <v>-2330194</v>
          </cell>
        </row>
        <row r="141">
          <cell r="A141" t="str">
            <v>5-3-01-01-001  INTERESES LEASING</v>
          </cell>
          <cell r="B141">
            <v>73231300</v>
          </cell>
          <cell r="C141">
            <v>0</v>
          </cell>
          <cell r="D141">
            <v>73231300</v>
          </cell>
          <cell r="E141">
            <v>0</v>
          </cell>
          <cell r="F141">
            <v>0</v>
          </cell>
          <cell r="G141">
            <v>0</v>
          </cell>
          <cell r="H141">
            <v>73231300</v>
          </cell>
          <cell r="I141">
            <v>0</v>
          </cell>
          <cell r="J141">
            <v>-73231300</v>
          </cell>
        </row>
        <row r="142">
          <cell r="A142" t="str">
            <v>5-3-01-01-002  GASTOS BANCARIOS</v>
          </cell>
          <cell r="B142">
            <v>540065</v>
          </cell>
          <cell r="C142">
            <v>0</v>
          </cell>
          <cell r="D142">
            <v>540065</v>
          </cell>
          <cell r="E142">
            <v>0</v>
          </cell>
          <cell r="F142">
            <v>0</v>
          </cell>
          <cell r="G142">
            <v>0</v>
          </cell>
          <cell r="H142">
            <v>540065</v>
          </cell>
          <cell r="I142">
            <v>0</v>
          </cell>
          <cell r="J142">
            <v>-540065</v>
          </cell>
        </row>
        <row r="143">
          <cell r="A143" t="str">
            <v>5-3-01-01-003  MULTAS INTERESES Y REAJUSTES</v>
          </cell>
          <cell r="B143">
            <v>581476</v>
          </cell>
          <cell r="C143">
            <v>0</v>
          </cell>
          <cell r="D143">
            <v>581476</v>
          </cell>
          <cell r="E143">
            <v>0</v>
          </cell>
          <cell r="F143">
            <v>0</v>
          </cell>
          <cell r="G143">
            <v>0</v>
          </cell>
          <cell r="H143">
            <v>581476</v>
          </cell>
          <cell r="I143">
            <v>0</v>
          </cell>
          <cell r="J143">
            <v>-581476</v>
          </cell>
        </row>
        <row r="144">
          <cell r="A144" t="str">
            <v>5-3-01-02-003  OTROS EGRESOS</v>
          </cell>
          <cell r="B144">
            <v>0</v>
          </cell>
          <cell r="C144">
            <v>207212</v>
          </cell>
          <cell r="D144">
            <v>0</v>
          </cell>
          <cell r="E144">
            <v>207212</v>
          </cell>
          <cell r="F144">
            <v>0</v>
          </cell>
          <cell r="G144">
            <v>0</v>
          </cell>
          <cell r="H144">
            <v>0</v>
          </cell>
          <cell r="I144">
            <v>207212</v>
          </cell>
          <cell r="J144">
            <v>207212</v>
          </cell>
        </row>
        <row r="145">
          <cell r="A145" t="str">
            <v>5-3-01-02-006  GANANCIA (PERDIDA) SWAP</v>
          </cell>
          <cell r="B145">
            <v>94933143</v>
          </cell>
          <cell r="C145">
            <v>0</v>
          </cell>
          <cell r="D145">
            <v>94933143</v>
          </cell>
          <cell r="E145">
            <v>0</v>
          </cell>
          <cell r="F145">
            <v>0</v>
          </cell>
          <cell r="G145">
            <v>0</v>
          </cell>
          <cell r="H145">
            <v>94933143</v>
          </cell>
          <cell r="I145">
            <v>0</v>
          </cell>
          <cell r="J145">
            <v>-94933143</v>
          </cell>
        </row>
        <row r="146">
          <cell r="A146" t="str">
            <v>5-3-01-02-007  MAYOR / MENOR VALOR DE INVERSIONES</v>
          </cell>
          <cell r="B146">
            <v>32432</v>
          </cell>
          <cell r="C146">
            <v>41445348</v>
          </cell>
          <cell r="D146">
            <v>0</v>
          </cell>
          <cell r="E146">
            <v>41412916</v>
          </cell>
          <cell r="F146">
            <v>0</v>
          </cell>
          <cell r="G146">
            <v>0</v>
          </cell>
          <cell r="H146">
            <v>0</v>
          </cell>
          <cell r="I146">
            <v>41412916</v>
          </cell>
          <cell r="J146">
            <v>41412916</v>
          </cell>
        </row>
        <row r="147">
          <cell r="A147" t="str">
            <v>5-3-01-03-004  CORRECCION REMANENTE CREDITO FISCAL</v>
          </cell>
          <cell r="B147">
            <v>946202</v>
          </cell>
          <cell r="C147">
            <v>0</v>
          </cell>
          <cell r="D147">
            <v>946202</v>
          </cell>
          <cell r="E147">
            <v>0</v>
          </cell>
          <cell r="F147">
            <v>0</v>
          </cell>
          <cell r="G147">
            <v>0</v>
          </cell>
          <cell r="H147">
            <v>946202</v>
          </cell>
          <cell r="I147">
            <v>0</v>
          </cell>
          <cell r="J147">
            <v>-946202</v>
          </cell>
        </row>
        <row r="148">
          <cell r="A148" t="str">
            <v>5-3-01-03-006  CORRECCION EN UF</v>
          </cell>
          <cell r="B148">
            <v>0</v>
          </cell>
          <cell r="C148">
            <v>69453524</v>
          </cell>
          <cell r="D148">
            <v>0</v>
          </cell>
          <cell r="E148">
            <v>69453524</v>
          </cell>
          <cell r="F148">
            <v>0</v>
          </cell>
          <cell r="G148">
            <v>0</v>
          </cell>
          <cell r="H148">
            <v>0</v>
          </cell>
          <cell r="I148">
            <v>69453524</v>
          </cell>
          <cell r="J148">
            <v>69453524</v>
          </cell>
        </row>
        <row r="149">
          <cell r="A149" t="str">
            <v>5-3-01-03-011  VARIACION USD</v>
          </cell>
          <cell r="B149">
            <v>1856757</v>
          </cell>
          <cell r="C149">
            <v>0</v>
          </cell>
          <cell r="D149">
            <v>1856757</v>
          </cell>
          <cell r="E149">
            <v>0</v>
          </cell>
          <cell r="F149">
            <v>0</v>
          </cell>
          <cell r="G149">
            <v>0</v>
          </cell>
          <cell r="H149">
            <v>1856757</v>
          </cell>
          <cell r="I149">
            <v>0</v>
          </cell>
          <cell r="J149">
            <v>-1856757</v>
          </cell>
        </row>
        <row r="150">
          <cell r="A150" t="str">
            <v>Sub-Totales</v>
          </cell>
          <cell r="B150">
            <v>8820550390</v>
          </cell>
          <cell r="C150">
            <v>8820550390</v>
          </cell>
          <cell r="D150">
            <v>2063422816</v>
          </cell>
          <cell r="E150">
            <v>2063422816</v>
          </cell>
          <cell r="F150">
            <v>1157350475</v>
          </cell>
          <cell r="G150">
            <v>656036690</v>
          </cell>
          <cell r="H150">
            <v>906072341</v>
          </cell>
          <cell r="I150">
            <v>1407386126</v>
          </cell>
          <cell r="J150">
            <v>0</v>
          </cell>
        </row>
        <row r="151">
          <cell r="A151" t="str">
            <v>Pérdidas / Ganancias</v>
          </cell>
          <cell r="B151"/>
          <cell r="C151"/>
          <cell r="D151"/>
          <cell r="E151"/>
          <cell r="F151"/>
          <cell r="G151">
            <v>501313785</v>
          </cell>
          <cell r="H151">
            <v>501313785</v>
          </cell>
          <cell r="I151"/>
          <cell r="J151">
            <v>0</v>
          </cell>
        </row>
        <row r="152">
          <cell r="A152" t="str">
            <v>Total General</v>
          </cell>
          <cell r="B152">
            <v>8820550390</v>
          </cell>
          <cell r="C152">
            <v>8820550390</v>
          </cell>
          <cell r="D152">
            <v>2063422816</v>
          </cell>
          <cell r="E152">
            <v>2063422816</v>
          </cell>
          <cell r="F152">
            <v>1157350475</v>
          </cell>
          <cell r="G152">
            <v>1157350475</v>
          </cell>
          <cell r="H152">
            <v>1407386126</v>
          </cell>
          <cell r="I152">
            <v>1407386126</v>
          </cell>
          <cell r="J152">
            <v>0</v>
          </cell>
        </row>
      </sheetData>
      <sheetData sheetId="11">
        <row r="1">
          <cell r="A1" t="str">
            <v>INVERSIONES SANTA FIDELMIRA LIMITADA</v>
          </cell>
          <cell r="B1"/>
          <cell r="C1"/>
          <cell r="D1"/>
          <cell r="E1"/>
          <cell r="F1"/>
          <cell r="G1"/>
          <cell r="H1"/>
          <cell r="I1"/>
        </row>
        <row r="2">
          <cell r="A2" t="str">
            <v>ARRIENDO, EXPLOTACION  BIENES INMUEBLES</v>
          </cell>
          <cell r="B2"/>
          <cell r="C2"/>
          <cell r="D2"/>
          <cell r="E2"/>
          <cell r="F2"/>
          <cell r="G2"/>
          <cell r="H2"/>
          <cell r="I2"/>
        </row>
        <row r="3">
          <cell r="A3" t="str">
            <v>MAIPU #599</v>
          </cell>
          <cell r="B3"/>
          <cell r="C3"/>
          <cell r="D3"/>
          <cell r="E3"/>
          <cell r="F3"/>
          <cell r="G3"/>
          <cell r="H3"/>
          <cell r="I3"/>
        </row>
        <row r="4">
          <cell r="A4" t="str">
            <v>LINARES</v>
          </cell>
          <cell r="B4"/>
          <cell r="C4"/>
          <cell r="D4"/>
          <cell r="E4"/>
          <cell r="F4"/>
          <cell r="G4"/>
          <cell r="H4"/>
          <cell r="I4"/>
        </row>
        <row r="5">
          <cell r="A5" t="str">
            <v>LINARES</v>
          </cell>
          <cell r="B5"/>
          <cell r="C5"/>
          <cell r="D5"/>
          <cell r="E5"/>
          <cell r="F5"/>
          <cell r="G5"/>
          <cell r="H5"/>
          <cell r="I5"/>
        </row>
        <row r="6">
          <cell r="A6" t="str">
            <v>79.991.280-5</v>
          </cell>
          <cell r="B6"/>
          <cell r="C6"/>
          <cell r="D6"/>
          <cell r="E6"/>
          <cell r="F6"/>
          <cell r="G6"/>
          <cell r="H6" t="str">
            <v>Fecha :</v>
          </cell>
          <cell r="I6" t="str">
            <v>19/02/2026</v>
          </cell>
        </row>
        <row r="8">
          <cell r="A8" t="str">
            <v>Balance Tributario</v>
          </cell>
          <cell r="B8"/>
          <cell r="C8"/>
          <cell r="D8"/>
          <cell r="E8"/>
          <cell r="F8"/>
          <cell r="G8"/>
          <cell r="H8"/>
          <cell r="I8"/>
        </row>
        <row r="9">
          <cell r="A9" t="str">
            <v xml:space="preserve"> Desde :Febrero/2025</v>
          </cell>
          <cell r="B9"/>
          <cell r="C9"/>
          <cell r="D9"/>
          <cell r="E9"/>
          <cell r="F9"/>
          <cell r="G9"/>
          <cell r="H9"/>
          <cell r="I9"/>
        </row>
        <row r="10">
          <cell r="A10" t="str">
            <v xml:space="preserve"> Hasta :Febrero/2025</v>
          </cell>
          <cell r="B10"/>
          <cell r="C10"/>
          <cell r="D10"/>
          <cell r="E10"/>
          <cell r="F10"/>
          <cell r="G10"/>
          <cell r="H10"/>
          <cell r="I10"/>
        </row>
        <row r="12">
          <cell r="A12" t="str">
            <v>Cuenta Contable</v>
          </cell>
          <cell r="B12" t="str">
            <v>Valores Acumulados</v>
          </cell>
          <cell r="C12"/>
          <cell r="D12" t="str">
            <v>Saldos</v>
          </cell>
          <cell r="E12"/>
          <cell r="F12" t="str">
            <v>Inventario</v>
          </cell>
          <cell r="G12"/>
          <cell r="H12" t="str">
            <v>Resultados</v>
          </cell>
          <cell r="I12"/>
        </row>
        <row r="13">
          <cell r="A13"/>
          <cell r="B13" t="str">
            <v>Débitos</v>
          </cell>
          <cell r="C13" t="str">
            <v>Créditos</v>
          </cell>
          <cell r="D13" t="str">
            <v>Deudor</v>
          </cell>
          <cell r="E13" t="str">
            <v>Acreedor</v>
          </cell>
          <cell r="F13" t="str">
            <v>Activo</v>
          </cell>
          <cell r="G13" t="str">
            <v>Pasivo</v>
          </cell>
          <cell r="H13" t="str">
            <v>Pérdida</v>
          </cell>
          <cell r="I13" t="str">
            <v>Ganancia</v>
          </cell>
        </row>
        <row r="14">
          <cell r="A14" t="str">
            <v>1-1-10-01-004  CAJA CHICA OUTLET TALCA</v>
          </cell>
          <cell r="B14">
            <v>0</v>
          </cell>
          <cell r="C14">
            <v>408181</v>
          </cell>
          <cell r="D14">
            <v>0</v>
          </cell>
          <cell r="E14">
            <v>408181</v>
          </cell>
          <cell r="F14">
            <v>0</v>
          </cell>
          <cell r="G14">
            <v>408181</v>
          </cell>
          <cell r="H14">
            <v>0</v>
          </cell>
          <cell r="I14">
            <v>0</v>
          </cell>
          <cell r="J14">
            <v>-408181</v>
          </cell>
        </row>
        <row r="15">
          <cell r="A15" t="str">
            <v>1-1-10-01-005  CAJA CHICA LINARES</v>
          </cell>
          <cell r="B15">
            <v>826420</v>
          </cell>
          <cell r="C15">
            <v>289744</v>
          </cell>
          <cell r="D15">
            <v>536676</v>
          </cell>
          <cell r="E15">
            <v>0</v>
          </cell>
          <cell r="F15">
            <v>536676</v>
          </cell>
          <cell r="G15">
            <v>0</v>
          </cell>
          <cell r="H15">
            <v>0</v>
          </cell>
          <cell r="I15">
            <v>0</v>
          </cell>
          <cell r="J15">
            <v>536676</v>
          </cell>
        </row>
        <row r="16">
          <cell r="A16" t="str">
            <v>1-1-10-01-006  CAJA CHICA NOTARIA GUERRERO</v>
          </cell>
          <cell r="B16">
            <v>300000</v>
          </cell>
          <cell r="C16">
            <v>0</v>
          </cell>
          <cell r="D16">
            <v>300000</v>
          </cell>
          <cell r="E16">
            <v>0</v>
          </cell>
          <cell r="F16">
            <v>300000</v>
          </cell>
          <cell r="G16">
            <v>0</v>
          </cell>
          <cell r="H16">
            <v>0</v>
          </cell>
          <cell r="I16">
            <v>0</v>
          </cell>
          <cell r="J16">
            <v>300000</v>
          </cell>
        </row>
        <row r="17">
          <cell r="A17" t="str">
            <v>1-1-10-01-007  CAJA CHICA SANTIAGO</v>
          </cell>
          <cell r="B17">
            <v>200324</v>
          </cell>
          <cell r="C17">
            <v>287306</v>
          </cell>
          <cell r="D17">
            <v>0</v>
          </cell>
          <cell r="E17">
            <v>86982</v>
          </cell>
          <cell r="F17">
            <v>0</v>
          </cell>
          <cell r="G17">
            <v>86982</v>
          </cell>
          <cell r="H17">
            <v>0</v>
          </cell>
          <cell r="I17">
            <v>0</v>
          </cell>
          <cell r="J17">
            <v>-86982</v>
          </cell>
        </row>
        <row r="18">
          <cell r="A18" t="str">
            <v>1-1-10-02-002  BANCO SANTANDER 25996240</v>
          </cell>
          <cell r="B18">
            <v>2624418572</v>
          </cell>
          <cell r="C18">
            <v>2626123425</v>
          </cell>
          <cell r="D18">
            <v>0</v>
          </cell>
          <cell r="E18">
            <v>1704853</v>
          </cell>
          <cell r="F18">
            <v>0</v>
          </cell>
          <cell r="G18">
            <v>1704853</v>
          </cell>
          <cell r="H18">
            <v>0</v>
          </cell>
          <cell r="I18">
            <v>0</v>
          </cell>
          <cell r="J18">
            <v>-1704853</v>
          </cell>
        </row>
        <row r="19">
          <cell r="A19" t="str">
            <v>1-1-10-02-004  BANCO CREDITO E INVERSIONES</v>
          </cell>
          <cell r="B19">
            <v>304607108</v>
          </cell>
          <cell r="C19">
            <v>315312150</v>
          </cell>
          <cell r="D19">
            <v>0</v>
          </cell>
          <cell r="E19">
            <v>10705042</v>
          </cell>
          <cell r="F19">
            <v>0</v>
          </cell>
          <cell r="G19">
            <v>10705042</v>
          </cell>
          <cell r="H19">
            <v>0</v>
          </cell>
          <cell r="I19">
            <v>0</v>
          </cell>
          <cell r="J19">
            <v>-10705042</v>
          </cell>
        </row>
        <row r="20">
          <cell r="A20" t="str">
            <v>1-1-10-02-005  BANCO ITAU</v>
          </cell>
          <cell r="B20">
            <v>305271034</v>
          </cell>
          <cell r="C20">
            <v>302244149</v>
          </cell>
          <cell r="D20">
            <v>3026885</v>
          </cell>
          <cell r="E20">
            <v>0</v>
          </cell>
          <cell r="F20">
            <v>3026885</v>
          </cell>
          <cell r="G20">
            <v>0</v>
          </cell>
          <cell r="H20">
            <v>0</v>
          </cell>
          <cell r="I20">
            <v>0</v>
          </cell>
          <cell r="J20">
            <v>3026885</v>
          </cell>
        </row>
        <row r="21">
          <cell r="A21" t="str">
            <v>1-1-10-02-006  BANCO INTERNACIONAL</v>
          </cell>
          <cell r="B21">
            <v>29596668</v>
          </cell>
          <cell r="C21">
            <v>29596668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1-1-10-02-007  BANCO BCI CHILE DOLARES</v>
          </cell>
          <cell r="B22">
            <v>117731851</v>
          </cell>
          <cell r="C22">
            <v>121484579</v>
          </cell>
          <cell r="D22">
            <v>0</v>
          </cell>
          <cell r="E22">
            <v>3752728</v>
          </cell>
          <cell r="F22">
            <v>0</v>
          </cell>
          <cell r="G22">
            <v>3752728</v>
          </cell>
          <cell r="H22">
            <v>0</v>
          </cell>
          <cell r="I22">
            <v>0</v>
          </cell>
          <cell r="J22">
            <v>-3752728</v>
          </cell>
        </row>
        <row r="23">
          <cell r="A23" t="str">
            <v>1-1-20-01-003  ACCIONES CFINRENTAS BANCO SANTANDER</v>
          </cell>
          <cell r="B23">
            <v>19755871</v>
          </cell>
          <cell r="C23">
            <v>0</v>
          </cell>
          <cell r="D23">
            <v>19755871</v>
          </cell>
          <cell r="E23">
            <v>0</v>
          </cell>
          <cell r="F23">
            <v>19755871</v>
          </cell>
          <cell r="G23">
            <v>0</v>
          </cell>
          <cell r="H23">
            <v>0</v>
          </cell>
          <cell r="I23">
            <v>0</v>
          </cell>
          <cell r="J23">
            <v>19755871</v>
          </cell>
        </row>
        <row r="24">
          <cell r="A24" t="str">
            <v>1-1-20-01-006  FONDOS MUTUOS BCI PESOS</v>
          </cell>
          <cell r="B24">
            <v>1547472</v>
          </cell>
          <cell r="C24">
            <v>0</v>
          </cell>
          <cell r="D24">
            <v>1547472</v>
          </cell>
          <cell r="E24">
            <v>0</v>
          </cell>
          <cell r="F24">
            <v>1547472</v>
          </cell>
          <cell r="G24">
            <v>0</v>
          </cell>
          <cell r="H24">
            <v>0</v>
          </cell>
          <cell r="I24">
            <v>0</v>
          </cell>
          <cell r="J24">
            <v>1547472</v>
          </cell>
        </row>
        <row r="25">
          <cell r="A25" t="str">
            <v>1-1-20-02-004  DAP BCI USD</v>
          </cell>
          <cell r="B25">
            <v>0</v>
          </cell>
          <cell r="C25">
            <v>132361408</v>
          </cell>
          <cell r="D25">
            <v>0</v>
          </cell>
          <cell r="E25">
            <v>132361408</v>
          </cell>
          <cell r="F25">
            <v>0</v>
          </cell>
          <cell r="G25">
            <v>132361408</v>
          </cell>
          <cell r="H25">
            <v>0</v>
          </cell>
          <cell r="I25">
            <v>0</v>
          </cell>
          <cell r="J25">
            <v>-132361408</v>
          </cell>
        </row>
        <row r="26">
          <cell r="A26" t="str">
            <v>1-1-20-04-004  INVERSIONES FI BTG PACTUAL RENTAS EN PESOS</v>
          </cell>
          <cell r="B26">
            <v>0</v>
          </cell>
          <cell r="C26">
            <v>7301202</v>
          </cell>
          <cell r="D26">
            <v>0</v>
          </cell>
          <cell r="E26">
            <v>7301202</v>
          </cell>
          <cell r="F26">
            <v>0</v>
          </cell>
          <cell r="G26">
            <v>7301202</v>
          </cell>
          <cell r="H26">
            <v>0</v>
          </cell>
          <cell r="I26">
            <v>0</v>
          </cell>
          <cell r="J26">
            <v>-7301202</v>
          </cell>
        </row>
        <row r="27">
          <cell r="A27" t="str">
            <v>1-1-20-04-005  INVERSIONES BTG FONDO MINING EN DOLARES</v>
          </cell>
          <cell r="B27">
            <v>0</v>
          </cell>
          <cell r="C27">
            <v>86</v>
          </cell>
          <cell r="D27">
            <v>0</v>
          </cell>
          <cell r="E27">
            <v>86</v>
          </cell>
          <cell r="F27">
            <v>0</v>
          </cell>
          <cell r="G27">
            <v>86</v>
          </cell>
          <cell r="H27">
            <v>0</v>
          </cell>
          <cell r="I27">
            <v>0</v>
          </cell>
          <cell r="J27">
            <v>-86</v>
          </cell>
        </row>
        <row r="28">
          <cell r="A28" t="str">
            <v>1-1-20-04-006  BANCHILE CORREDORES DE BOLSA DOLARES</v>
          </cell>
          <cell r="B28">
            <v>0</v>
          </cell>
          <cell r="C28">
            <v>175727</v>
          </cell>
          <cell r="D28">
            <v>0</v>
          </cell>
          <cell r="E28">
            <v>175727</v>
          </cell>
          <cell r="F28">
            <v>0</v>
          </cell>
          <cell r="G28">
            <v>175727</v>
          </cell>
          <cell r="H28">
            <v>0</v>
          </cell>
          <cell r="I28">
            <v>0</v>
          </cell>
          <cell r="J28">
            <v>-175727</v>
          </cell>
        </row>
        <row r="29">
          <cell r="A29" t="str">
            <v>1-1-20-04-009  ACCIONES BCI CORREDOR BOLSA</v>
          </cell>
          <cell r="B29">
            <v>11322123</v>
          </cell>
          <cell r="C29">
            <v>0</v>
          </cell>
          <cell r="D29">
            <v>11322123</v>
          </cell>
          <cell r="E29">
            <v>0</v>
          </cell>
          <cell r="F29">
            <v>11322123</v>
          </cell>
          <cell r="G29">
            <v>0</v>
          </cell>
          <cell r="H29">
            <v>0</v>
          </cell>
          <cell r="I29">
            <v>0</v>
          </cell>
          <cell r="J29">
            <v>11322123</v>
          </cell>
        </row>
        <row r="30">
          <cell r="A30" t="str">
            <v>1-1-20-04-010  INVERSION  NEO-RENTAS ADM.</v>
          </cell>
          <cell r="B30">
            <v>31626866</v>
          </cell>
          <cell r="C30">
            <v>0</v>
          </cell>
          <cell r="D30">
            <v>31626866</v>
          </cell>
          <cell r="E30">
            <v>0</v>
          </cell>
          <cell r="F30">
            <v>31626866</v>
          </cell>
          <cell r="G30">
            <v>0</v>
          </cell>
          <cell r="H30">
            <v>0</v>
          </cell>
          <cell r="I30">
            <v>0</v>
          </cell>
          <cell r="J30">
            <v>31626866</v>
          </cell>
        </row>
        <row r="31">
          <cell r="A31" t="str">
            <v>1-1-20-04-013  FONDO MUTUO BTG MONEY MARKET PESOS</v>
          </cell>
          <cell r="B31">
            <v>35</v>
          </cell>
          <cell r="C31">
            <v>0</v>
          </cell>
          <cell r="D31">
            <v>35</v>
          </cell>
          <cell r="E31">
            <v>0</v>
          </cell>
          <cell r="F31">
            <v>35</v>
          </cell>
          <cell r="G31">
            <v>0</v>
          </cell>
          <cell r="H31">
            <v>0</v>
          </cell>
          <cell r="I31">
            <v>0</v>
          </cell>
          <cell r="J31">
            <v>35</v>
          </cell>
        </row>
        <row r="32">
          <cell r="A32" t="str">
            <v>1-1-20-05-011  INVERSION LAMPA VALLE GRANDE SPA</v>
          </cell>
          <cell r="B32">
            <v>296961109</v>
          </cell>
          <cell r="C32">
            <v>0</v>
          </cell>
          <cell r="D32">
            <v>296961109</v>
          </cell>
          <cell r="E32">
            <v>0</v>
          </cell>
          <cell r="F32">
            <v>296961109</v>
          </cell>
          <cell r="G32">
            <v>0</v>
          </cell>
          <cell r="H32">
            <v>0</v>
          </cell>
          <cell r="I32">
            <v>0</v>
          </cell>
          <cell r="J32">
            <v>296961109</v>
          </cell>
        </row>
        <row r="33">
          <cell r="A33" t="str">
            <v>1-1-30-01-005  CLIENTES 2</v>
          </cell>
          <cell r="B33">
            <v>1292728302</v>
          </cell>
          <cell r="C33">
            <v>1210999052</v>
          </cell>
          <cell r="D33">
            <v>81729250</v>
          </cell>
          <cell r="E33">
            <v>0</v>
          </cell>
          <cell r="F33">
            <v>81729250</v>
          </cell>
          <cell r="G33">
            <v>0</v>
          </cell>
          <cell r="H33">
            <v>0</v>
          </cell>
          <cell r="I33">
            <v>0</v>
          </cell>
          <cell r="J33">
            <v>81729250</v>
          </cell>
        </row>
        <row r="34">
          <cell r="A34" t="str">
            <v>1-1-40-01-002  ANTICIPO SUELDO</v>
          </cell>
          <cell r="B34">
            <v>6030000</v>
          </cell>
          <cell r="C34">
            <v>6030000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1-1-40-01-010  CTA X COBRAR INV.PRIME CAPITAL INTERNACIONAL (EX SEGOVIA SA)</v>
          </cell>
          <cell r="B35">
            <v>0</v>
          </cell>
          <cell r="C35">
            <v>24554087</v>
          </cell>
          <cell r="D35">
            <v>0</v>
          </cell>
          <cell r="E35">
            <v>24554087</v>
          </cell>
          <cell r="F35">
            <v>0</v>
          </cell>
          <cell r="G35">
            <v>24554087</v>
          </cell>
          <cell r="H35">
            <v>0</v>
          </cell>
          <cell r="I35">
            <v>0</v>
          </cell>
          <cell r="J35">
            <v>-24554087</v>
          </cell>
        </row>
        <row r="36">
          <cell r="A36" t="str">
            <v>1-1-40-01-013  ANTICIPO PROVEEDORES 2</v>
          </cell>
          <cell r="B36">
            <v>0</v>
          </cell>
          <cell r="C36">
            <v>4907690</v>
          </cell>
          <cell r="D36">
            <v>0</v>
          </cell>
          <cell r="E36">
            <v>4907690</v>
          </cell>
          <cell r="F36">
            <v>0</v>
          </cell>
          <cell r="G36">
            <v>4907690</v>
          </cell>
          <cell r="H36">
            <v>0</v>
          </cell>
          <cell r="I36">
            <v>0</v>
          </cell>
          <cell r="J36">
            <v>-4907690</v>
          </cell>
        </row>
        <row r="37">
          <cell r="A37" t="str">
            <v>1-1-40-01-014  CTA X COBRAR ISF DOLAR</v>
          </cell>
          <cell r="B37">
            <v>53736688</v>
          </cell>
          <cell r="C37">
            <v>0</v>
          </cell>
          <cell r="D37">
            <v>53736688</v>
          </cell>
          <cell r="E37">
            <v>0</v>
          </cell>
          <cell r="F37">
            <v>53736688</v>
          </cell>
          <cell r="G37">
            <v>0</v>
          </cell>
          <cell r="H37">
            <v>0</v>
          </cell>
          <cell r="I37">
            <v>0</v>
          </cell>
          <cell r="J37">
            <v>53736688</v>
          </cell>
        </row>
        <row r="38">
          <cell r="A38" t="str">
            <v>1-1-40-01-017  ANTICIPO PROVEEDOR 3</v>
          </cell>
          <cell r="B38">
            <v>58045012</v>
          </cell>
          <cell r="C38">
            <v>56716318</v>
          </cell>
          <cell r="D38">
            <v>1328694</v>
          </cell>
          <cell r="E38">
            <v>0</v>
          </cell>
          <cell r="F38">
            <v>1328694</v>
          </cell>
          <cell r="G38">
            <v>0</v>
          </cell>
          <cell r="H38">
            <v>0</v>
          </cell>
          <cell r="I38">
            <v>0</v>
          </cell>
          <cell r="J38">
            <v>1328694</v>
          </cell>
        </row>
        <row r="39">
          <cell r="A39" t="str">
            <v>1-1-40-01-019  CTA X COBRAR ERIC WAGHORN VITAR</v>
          </cell>
          <cell r="B39">
            <v>510000000</v>
          </cell>
          <cell r="C39">
            <v>0</v>
          </cell>
          <cell r="D39">
            <v>510000000</v>
          </cell>
          <cell r="E39">
            <v>0</v>
          </cell>
          <cell r="F39">
            <v>510000000</v>
          </cell>
          <cell r="G39">
            <v>0</v>
          </cell>
          <cell r="H39">
            <v>0</v>
          </cell>
          <cell r="I39">
            <v>0</v>
          </cell>
          <cell r="J39">
            <v>510000000</v>
          </cell>
        </row>
        <row r="40">
          <cell r="A40" t="str">
            <v>1-1-50-01-005  PAGARE POR COBRAR DOLE</v>
          </cell>
          <cell r="B40">
            <v>0</v>
          </cell>
          <cell r="C40">
            <v>4690978</v>
          </cell>
          <cell r="D40">
            <v>0</v>
          </cell>
          <cell r="E40">
            <v>4690978</v>
          </cell>
          <cell r="F40">
            <v>0</v>
          </cell>
          <cell r="G40">
            <v>4690978</v>
          </cell>
          <cell r="H40">
            <v>0</v>
          </cell>
          <cell r="I40">
            <v>0</v>
          </cell>
          <cell r="J40">
            <v>-4690978</v>
          </cell>
        </row>
        <row r="41">
          <cell r="A41" t="str">
            <v>1-1-50-01-006  CTA, POR COBRAR DINAMITY</v>
          </cell>
          <cell r="B41">
            <v>0</v>
          </cell>
          <cell r="C41">
            <v>2543602</v>
          </cell>
          <cell r="D41">
            <v>0</v>
          </cell>
          <cell r="E41">
            <v>2543602</v>
          </cell>
          <cell r="F41">
            <v>0</v>
          </cell>
          <cell r="G41">
            <v>2543602</v>
          </cell>
          <cell r="H41">
            <v>0</v>
          </cell>
          <cell r="I41">
            <v>0</v>
          </cell>
          <cell r="J41">
            <v>-2543602</v>
          </cell>
        </row>
        <row r="42">
          <cell r="A42" t="str">
            <v>1-1-70-01-001  IVA CREDITO FISCAL</v>
          </cell>
          <cell r="B42">
            <v>89703362</v>
          </cell>
          <cell r="C42">
            <v>89703362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A43" t="str">
            <v>1-1-70-01-020  REMANENTE CR FISCAL</v>
          </cell>
          <cell r="B43">
            <v>4385079</v>
          </cell>
          <cell r="C43">
            <v>76192933</v>
          </cell>
          <cell r="D43">
            <v>0</v>
          </cell>
          <cell r="E43">
            <v>71807854</v>
          </cell>
          <cell r="F43">
            <v>0</v>
          </cell>
          <cell r="G43">
            <v>71807854</v>
          </cell>
          <cell r="H43">
            <v>0</v>
          </cell>
          <cell r="I43">
            <v>0</v>
          </cell>
          <cell r="J43">
            <v>-71807854</v>
          </cell>
        </row>
        <row r="44">
          <cell r="A44" t="str">
            <v>1-2-01-09-001  PROYECTOS</v>
          </cell>
          <cell r="B44">
            <v>712500</v>
          </cell>
          <cell r="C44">
            <v>0</v>
          </cell>
          <cell r="D44">
            <v>712500</v>
          </cell>
          <cell r="E44">
            <v>0</v>
          </cell>
          <cell r="F44">
            <v>712500</v>
          </cell>
          <cell r="G44">
            <v>0</v>
          </cell>
          <cell r="H44">
            <v>0</v>
          </cell>
          <cell r="I44">
            <v>0</v>
          </cell>
          <cell r="J44">
            <v>712500</v>
          </cell>
        </row>
        <row r="45">
          <cell r="A45" t="str">
            <v>1-2-01-16-001  PROYECTO EL TREBOL LINARES</v>
          </cell>
          <cell r="B45">
            <v>1786015</v>
          </cell>
          <cell r="C45">
            <v>0</v>
          </cell>
          <cell r="D45">
            <v>1786015</v>
          </cell>
          <cell r="E45">
            <v>0</v>
          </cell>
          <cell r="F45">
            <v>1786015</v>
          </cell>
          <cell r="G45">
            <v>0</v>
          </cell>
          <cell r="H45">
            <v>0</v>
          </cell>
          <cell r="I45">
            <v>0</v>
          </cell>
          <cell r="J45">
            <v>1786015</v>
          </cell>
        </row>
        <row r="46">
          <cell r="A46" t="str">
            <v>1-3-04-01-002  RETENCIONES JUDICIALES CAUSAS</v>
          </cell>
          <cell r="B46">
            <v>1788244</v>
          </cell>
          <cell r="C46">
            <v>0</v>
          </cell>
          <cell r="D46">
            <v>1788244</v>
          </cell>
          <cell r="E46">
            <v>0</v>
          </cell>
          <cell r="F46">
            <v>1788244</v>
          </cell>
          <cell r="G46">
            <v>0</v>
          </cell>
          <cell r="H46">
            <v>0</v>
          </cell>
          <cell r="I46">
            <v>0</v>
          </cell>
          <cell r="J46">
            <v>1788244</v>
          </cell>
        </row>
        <row r="47">
          <cell r="A47" t="str">
            <v>2-1-01-01-009  PRESTAMO  BCO INTERNACIONAL CP M$600</v>
          </cell>
          <cell r="B47">
            <v>18449341</v>
          </cell>
          <cell r="C47">
            <v>0</v>
          </cell>
          <cell r="D47">
            <v>18449341</v>
          </cell>
          <cell r="E47">
            <v>0</v>
          </cell>
          <cell r="F47">
            <v>18449341</v>
          </cell>
          <cell r="G47">
            <v>0</v>
          </cell>
          <cell r="H47">
            <v>0</v>
          </cell>
          <cell r="I47">
            <v>0</v>
          </cell>
          <cell r="J47">
            <v>-18449341</v>
          </cell>
        </row>
        <row r="48">
          <cell r="A48" t="str">
            <v>2-1-01-01-010  USO LINEA CRÉDITO BANCO SANTANDER</v>
          </cell>
          <cell r="B48">
            <v>446686872</v>
          </cell>
          <cell r="C48">
            <v>469835641</v>
          </cell>
          <cell r="D48">
            <v>0</v>
          </cell>
          <cell r="E48">
            <v>23148769</v>
          </cell>
          <cell r="F48">
            <v>0</v>
          </cell>
          <cell r="G48">
            <v>23148769</v>
          </cell>
          <cell r="H48">
            <v>0</v>
          </cell>
          <cell r="I48">
            <v>0</v>
          </cell>
          <cell r="J48">
            <v>23148769</v>
          </cell>
        </row>
        <row r="49">
          <cell r="A49" t="str">
            <v>2-1-01-01-011  USO LINEA CREDITO BANCO BCI</v>
          </cell>
          <cell r="B49">
            <v>63815786</v>
          </cell>
          <cell r="C49">
            <v>63616135</v>
          </cell>
          <cell r="D49">
            <v>199651</v>
          </cell>
          <cell r="E49">
            <v>0</v>
          </cell>
          <cell r="F49">
            <v>199651</v>
          </cell>
          <cell r="G49">
            <v>0</v>
          </cell>
          <cell r="H49">
            <v>0</v>
          </cell>
          <cell r="I49">
            <v>0</v>
          </cell>
          <cell r="J49">
            <v>-199651</v>
          </cell>
        </row>
        <row r="50">
          <cell r="A50" t="str">
            <v>2-1-01-02-001  OBLIG. LEASING 1 SUR 1990 C/PLAZO</v>
          </cell>
          <cell r="B50">
            <v>7739908</v>
          </cell>
          <cell r="C50">
            <v>0</v>
          </cell>
          <cell r="D50">
            <v>7739908</v>
          </cell>
          <cell r="E50">
            <v>0</v>
          </cell>
          <cell r="F50">
            <v>7739908</v>
          </cell>
          <cell r="G50">
            <v>0</v>
          </cell>
          <cell r="H50">
            <v>0</v>
          </cell>
          <cell r="I50">
            <v>0</v>
          </cell>
          <cell r="J50">
            <v>-7739908</v>
          </cell>
        </row>
        <row r="51">
          <cell r="A51" t="str">
            <v>2-1-01-02-002  OBLIG. LEASING SAN JAVIER C/PLAZO</v>
          </cell>
          <cell r="B51">
            <v>6655042</v>
          </cell>
          <cell r="C51">
            <v>0</v>
          </cell>
          <cell r="D51">
            <v>6655042</v>
          </cell>
          <cell r="E51">
            <v>0</v>
          </cell>
          <cell r="F51">
            <v>6655042</v>
          </cell>
          <cell r="G51">
            <v>0</v>
          </cell>
          <cell r="H51">
            <v>0</v>
          </cell>
          <cell r="I51">
            <v>0</v>
          </cell>
          <cell r="J51">
            <v>-6655042</v>
          </cell>
        </row>
        <row r="52">
          <cell r="A52" t="str">
            <v>2-1-01-02-003  OBLIG. LEASING COLIN 0240 TALCA</v>
          </cell>
          <cell r="B52">
            <v>12525745</v>
          </cell>
          <cell r="C52">
            <v>0</v>
          </cell>
          <cell r="D52">
            <v>12525745</v>
          </cell>
          <cell r="E52">
            <v>0</v>
          </cell>
          <cell r="F52">
            <v>12525745</v>
          </cell>
          <cell r="G52">
            <v>0</v>
          </cell>
          <cell r="H52">
            <v>0</v>
          </cell>
          <cell r="I52">
            <v>0</v>
          </cell>
          <cell r="J52">
            <v>-12525745</v>
          </cell>
        </row>
        <row r="53">
          <cell r="A53" t="str">
            <v>2-1-01-02-004  OBLIG. LEASING C. SATELITE C/PLAZO</v>
          </cell>
          <cell r="B53">
            <v>18415072</v>
          </cell>
          <cell r="C53">
            <v>0</v>
          </cell>
          <cell r="D53">
            <v>18415072</v>
          </cell>
          <cell r="E53">
            <v>0</v>
          </cell>
          <cell r="F53">
            <v>18415072</v>
          </cell>
          <cell r="G53">
            <v>0</v>
          </cell>
          <cell r="H53">
            <v>0</v>
          </cell>
          <cell r="I53">
            <v>0</v>
          </cell>
          <cell r="J53">
            <v>-18415072</v>
          </cell>
        </row>
        <row r="54">
          <cell r="A54" t="str">
            <v>2-1-01-02-005  OBLIG. LEASING 11 ORIENTE C/PLAZO</v>
          </cell>
          <cell r="B54">
            <v>6611844</v>
          </cell>
          <cell r="C54">
            <v>0</v>
          </cell>
          <cell r="D54">
            <v>6611844</v>
          </cell>
          <cell r="E54">
            <v>0</v>
          </cell>
          <cell r="F54">
            <v>6611844</v>
          </cell>
          <cell r="G54">
            <v>0</v>
          </cell>
          <cell r="H54">
            <v>0</v>
          </cell>
          <cell r="I54">
            <v>0</v>
          </cell>
          <cell r="J54">
            <v>-6611844</v>
          </cell>
        </row>
        <row r="55">
          <cell r="A55" t="str">
            <v>2-1-01-02-006  OBLIG. LEASING MAIPU 556 C/PLAZO</v>
          </cell>
          <cell r="B55">
            <v>5851687</v>
          </cell>
          <cell r="C55">
            <v>0</v>
          </cell>
          <cell r="D55">
            <v>5851687</v>
          </cell>
          <cell r="E55">
            <v>0</v>
          </cell>
          <cell r="F55">
            <v>5851687</v>
          </cell>
          <cell r="G55">
            <v>0</v>
          </cell>
          <cell r="H55">
            <v>0</v>
          </cell>
          <cell r="I55">
            <v>0</v>
          </cell>
          <cell r="J55">
            <v>-5851687</v>
          </cell>
        </row>
        <row r="56">
          <cell r="A56" t="str">
            <v>2-1-01-02-007  OBLIG. LEASING BRASIL 648 C/PLAZO</v>
          </cell>
          <cell r="B56">
            <v>4486294</v>
          </cell>
          <cell r="C56">
            <v>0</v>
          </cell>
          <cell r="D56">
            <v>4486294</v>
          </cell>
          <cell r="E56">
            <v>0</v>
          </cell>
          <cell r="F56">
            <v>4486294</v>
          </cell>
          <cell r="G56">
            <v>0</v>
          </cell>
          <cell r="H56">
            <v>0</v>
          </cell>
          <cell r="I56">
            <v>0</v>
          </cell>
          <cell r="J56">
            <v>-4486294</v>
          </cell>
        </row>
        <row r="57">
          <cell r="A57" t="str">
            <v>2-1-01-02-008  OBLIG. LEASING VIAL 224 C/PLAZO</v>
          </cell>
          <cell r="B57">
            <v>5364047</v>
          </cell>
          <cell r="C57">
            <v>0</v>
          </cell>
          <cell r="D57">
            <v>5364047</v>
          </cell>
          <cell r="E57">
            <v>0</v>
          </cell>
          <cell r="F57">
            <v>5364047</v>
          </cell>
          <cell r="G57">
            <v>0</v>
          </cell>
          <cell r="H57">
            <v>0</v>
          </cell>
          <cell r="I57">
            <v>0</v>
          </cell>
          <cell r="J57">
            <v>-5364047</v>
          </cell>
        </row>
        <row r="58">
          <cell r="A58" t="str">
            <v>2-1-01-02-009  OBLIG. LEASING TALCA COLIN C/PLAZO</v>
          </cell>
          <cell r="B58">
            <v>48533762</v>
          </cell>
          <cell r="C58">
            <v>0</v>
          </cell>
          <cell r="D58">
            <v>48533762</v>
          </cell>
          <cell r="E58">
            <v>0</v>
          </cell>
          <cell r="F58">
            <v>48533762</v>
          </cell>
          <cell r="G58">
            <v>0</v>
          </cell>
          <cell r="H58">
            <v>0</v>
          </cell>
          <cell r="I58">
            <v>0</v>
          </cell>
          <cell r="J58">
            <v>-48533762</v>
          </cell>
        </row>
        <row r="59">
          <cell r="A59" t="str">
            <v>2-1-01-02-010  OBLIG. HIPOTECARIO C/PLAZO</v>
          </cell>
          <cell r="B59">
            <v>14650209</v>
          </cell>
          <cell r="C59">
            <v>0</v>
          </cell>
          <cell r="D59">
            <v>14650209</v>
          </cell>
          <cell r="E59">
            <v>0</v>
          </cell>
          <cell r="F59">
            <v>14650209</v>
          </cell>
          <cell r="G59">
            <v>0</v>
          </cell>
          <cell r="H59">
            <v>0</v>
          </cell>
          <cell r="I59">
            <v>0</v>
          </cell>
          <cell r="J59">
            <v>-14650209</v>
          </cell>
        </row>
        <row r="60">
          <cell r="A60" t="str">
            <v>2-1-01-02-011  OBLIG.LEASING VALPO  C/P</v>
          </cell>
          <cell r="B60">
            <v>23686493</v>
          </cell>
          <cell r="C60">
            <v>0</v>
          </cell>
          <cell r="D60">
            <v>23686493</v>
          </cell>
          <cell r="E60">
            <v>0</v>
          </cell>
          <cell r="F60">
            <v>23686493</v>
          </cell>
          <cell r="G60">
            <v>0</v>
          </cell>
          <cell r="H60">
            <v>0</v>
          </cell>
          <cell r="I60">
            <v>0</v>
          </cell>
          <cell r="J60">
            <v>-23686493</v>
          </cell>
        </row>
        <row r="61">
          <cell r="A61" t="str">
            <v>2-1-01-02-012  OBLIG.LEASING CAUQUENES C/P</v>
          </cell>
          <cell r="B61">
            <v>8853639</v>
          </cell>
          <cell r="C61">
            <v>0</v>
          </cell>
          <cell r="D61">
            <v>8853639</v>
          </cell>
          <cell r="E61">
            <v>0</v>
          </cell>
          <cell r="F61">
            <v>8853639</v>
          </cell>
          <cell r="G61">
            <v>0</v>
          </cell>
          <cell r="H61">
            <v>0</v>
          </cell>
          <cell r="I61">
            <v>0</v>
          </cell>
          <cell r="J61">
            <v>-8853639</v>
          </cell>
        </row>
        <row r="62">
          <cell r="A62" t="str">
            <v>2-1-01-02-013  OBLIG. LEASING OUTLET C/P</v>
          </cell>
          <cell r="B62">
            <v>65416151</v>
          </cell>
          <cell r="C62">
            <v>0</v>
          </cell>
          <cell r="D62">
            <v>65416151</v>
          </cell>
          <cell r="E62">
            <v>0</v>
          </cell>
          <cell r="F62">
            <v>65416151</v>
          </cell>
          <cell r="G62">
            <v>0</v>
          </cell>
          <cell r="H62">
            <v>0</v>
          </cell>
          <cell r="I62">
            <v>0</v>
          </cell>
          <cell r="J62">
            <v>-65416151</v>
          </cell>
        </row>
        <row r="63">
          <cell r="A63" t="str">
            <v>2-1-01-02-014  OBLIG HIPOTECARIO LOS MORRO CP</v>
          </cell>
          <cell r="B63">
            <v>34023521</v>
          </cell>
          <cell r="C63">
            <v>0</v>
          </cell>
          <cell r="D63">
            <v>34023521</v>
          </cell>
          <cell r="E63">
            <v>0</v>
          </cell>
          <cell r="F63">
            <v>34023521</v>
          </cell>
          <cell r="G63">
            <v>0</v>
          </cell>
          <cell r="H63">
            <v>0</v>
          </cell>
          <cell r="I63">
            <v>0</v>
          </cell>
          <cell r="J63">
            <v>-34023521</v>
          </cell>
        </row>
        <row r="64">
          <cell r="A64" t="str">
            <v>2-1-01-03-002  OBLIG LEASING VEHICULOS  CP 2</v>
          </cell>
          <cell r="B64">
            <v>3456481</v>
          </cell>
          <cell r="C64">
            <v>0</v>
          </cell>
          <cell r="D64">
            <v>3456481</v>
          </cell>
          <cell r="E64">
            <v>0</v>
          </cell>
          <cell r="F64">
            <v>3456481</v>
          </cell>
          <cell r="G64">
            <v>0</v>
          </cell>
          <cell r="H64">
            <v>0</v>
          </cell>
          <cell r="I64">
            <v>0</v>
          </cell>
          <cell r="J64">
            <v>-3456481</v>
          </cell>
        </row>
        <row r="65">
          <cell r="A65" t="str">
            <v>2-1-02-01-003  REMUNERACIONES POR PAGAR</v>
          </cell>
          <cell r="B65">
            <v>75479727</v>
          </cell>
          <cell r="C65">
            <v>75479727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2-1-02-01-005  MUTUOS POR PAGAR</v>
          </cell>
          <cell r="B66">
            <v>114597839</v>
          </cell>
          <cell r="C66">
            <v>630000000</v>
          </cell>
          <cell r="D66">
            <v>0</v>
          </cell>
          <cell r="E66">
            <v>515402161</v>
          </cell>
          <cell r="F66">
            <v>0</v>
          </cell>
          <cell r="G66">
            <v>515402161</v>
          </cell>
          <cell r="H66">
            <v>0</v>
          </cell>
          <cell r="I66">
            <v>0</v>
          </cell>
          <cell r="J66">
            <v>515402161</v>
          </cell>
        </row>
        <row r="67">
          <cell r="A67" t="str">
            <v>2-1-03-01-002  GARANTIAS RECIBIDAS ARRENDATARIOS (UF)</v>
          </cell>
          <cell r="B67">
            <v>0</v>
          </cell>
          <cell r="C67">
            <v>505578</v>
          </cell>
          <cell r="D67">
            <v>0</v>
          </cell>
          <cell r="E67">
            <v>505578</v>
          </cell>
          <cell r="F67">
            <v>0</v>
          </cell>
          <cell r="G67">
            <v>505578</v>
          </cell>
          <cell r="H67">
            <v>0</v>
          </cell>
          <cell r="I67">
            <v>0</v>
          </cell>
          <cell r="J67">
            <v>505578</v>
          </cell>
        </row>
        <row r="68">
          <cell r="A68" t="str">
            <v>2-1-03-01-008  CTA X PAGAR ISF DOLAR</v>
          </cell>
          <cell r="B68">
            <v>0</v>
          </cell>
          <cell r="C68">
            <v>1772675</v>
          </cell>
          <cell r="D68">
            <v>0</v>
          </cell>
          <cell r="E68">
            <v>1772675</v>
          </cell>
          <cell r="F68">
            <v>0</v>
          </cell>
          <cell r="G68">
            <v>1772675</v>
          </cell>
          <cell r="H68">
            <v>0</v>
          </cell>
          <cell r="I68">
            <v>0</v>
          </cell>
          <cell r="J68">
            <v>1772675</v>
          </cell>
        </row>
        <row r="69">
          <cell r="A69" t="str">
            <v>2-1-03-02-001  ANTICIPO DE CLIENTES</v>
          </cell>
          <cell r="B69">
            <v>4690978</v>
          </cell>
          <cell r="C69">
            <v>6124245</v>
          </cell>
          <cell r="D69">
            <v>0</v>
          </cell>
          <cell r="E69">
            <v>1433267</v>
          </cell>
          <cell r="F69">
            <v>0</v>
          </cell>
          <cell r="G69">
            <v>1433267</v>
          </cell>
          <cell r="H69">
            <v>0</v>
          </cell>
          <cell r="I69">
            <v>0</v>
          </cell>
          <cell r="J69">
            <v>1433267</v>
          </cell>
        </row>
        <row r="70">
          <cell r="A70" t="str">
            <v>2-1-03-02-005  DEVENGO INTERESES CTA, POR COBRAR DINAMITY</v>
          </cell>
          <cell r="B70">
            <v>182491</v>
          </cell>
          <cell r="C70">
            <v>0</v>
          </cell>
          <cell r="D70">
            <v>182491</v>
          </cell>
          <cell r="E70">
            <v>0</v>
          </cell>
          <cell r="F70">
            <v>182491</v>
          </cell>
          <cell r="G70">
            <v>0</v>
          </cell>
          <cell r="H70">
            <v>0</v>
          </cell>
          <cell r="I70">
            <v>0</v>
          </cell>
          <cell r="J70">
            <v>-182491</v>
          </cell>
        </row>
        <row r="71">
          <cell r="A71" t="str">
            <v>2-1-04-01-001  IVA DEBITO FISCAL</v>
          </cell>
          <cell r="B71">
            <v>157708392</v>
          </cell>
          <cell r="C71">
            <v>157708392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2-1-04-01-002  IMPUESTO UNICO</v>
          </cell>
          <cell r="B72">
            <v>12855073</v>
          </cell>
          <cell r="C72">
            <v>24089102</v>
          </cell>
          <cell r="D72">
            <v>0</v>
          </cell>
          <cell r="E72">
            <v>11234029</v>
          </cell>
          <cell r="F72">
            <v>0</v>
          </cell>
          <cell r="G72">
            <v>11234029</v>
          </cell>
          <cell r="H72">
            <v>0</v>
          </cell>
          <cell r="I72">
            <v>0</v>
          </cell>
          <cell r="J72">
            <v>11234029</v>
          </cell>
        </row>
        <row r="73">
          <cell r="A73" t="str">
            <v>2-1-04-01-003  IMPUESTO 2° CATEGORIA</v>
          </cell>
          <cell r="B73">
            <v>2006724</v>
          </cell>
          <cell r="C73">
            <v>1471547</v>
          </cell>
          <cell r="D73">
            <v>535177</v>
          </cell>
          <cell r="E73">
            <v>0</v>
          </cell>
          <cell r="F73">
            <v>535177</v>
          </cell>
          <cell r="G73">
            <v>0</v>
          </cell>
          <cell r="H73">
            <v>0</v>
          </cell>
          <cell r="I73">
            <v>0</v>
          </cell>
          <cell r="J73">
            <v>-535177</v>
          </cell>
        </row>
        <row r="74">
          <cell r="A74" t="str">
            <v>2-1-04-01-005  IMPOSICIONES POR PAGAR</v>
          </cell>
          <cell r="B74">
            <v>9993104</v>
          </cell>
          <cell r="C74">
            <v>10025202</v>
          </cell>
          <cell r="D74">
            <v>0</v>
          </cell>
          <cell r="E74">
            <v>32098</v>
          </cell>
          <cell r="F74">
            <v>0</v>
          </cell>
          <cell r="G74">
            <v>32098</v>
          </cell>
          <cell r="H74">
            <v>0</v>
          </cell>
          <cell r="I74">
            <v>0</v>
          </cell>
          <cell r="J74">
            <v>32098</v>
          </cell>
        </row>
        <row r="75">
          <cell r="A75" t="str">
            <v>2-1-06-01-001  PROVEEDORES 2</v>
          </cell>
          <cell r="B75">
            <v>2353374082</v>
          </cell>
          <cell r="C75">
            <v>2285484090</v>
          </cell>
          <cell r="D75">
            <v>67889992</v>
          </cell>
          <cell r="E75">
            <v>0</v>
          </cell>
          <cell r="F75">
            <v>67889992</v>
          </cell>
          <cell r="G75">
            <v>0</v>
          </cell>
          <cell r="H75">
            <v>0</v>
          </cell>
          <cell r="I75">
            <v>0</v>
          </cell>
          <cell r="J75">
            <v>-67889992</v>
          </cell>
        </row>
        <row r="76">
          <cell r="A76" t="str">
            <v>2-1-06-01-002  HONORARIOS POR PAGAR 2</v>
          </cell>
          <cell r="B76">
            <v>6632151</v>
          </cell>
          <cell r="C76">
            <v>8586241</v>
          </cell>
          <cell r="D76">
            <v>0</v>
          </cell>
          <cell r="E76">
            <v>1954090</v>
          </cell>
          <cell r="F76">
            <v>0</v>
          </cell>
          <cell r="G76">
            <v>1954090</v>
          </cell>
          <cell r="H76">
            <v>0</v>
          </cell>
          <cell r="I76">
            <v>0</v>
          </cell>
          <cell r="J76">
            <v>1954090</v>
          </cell>
        </row>
        <row r="77">
          <cell r="A77" t="str">
            <v>2-1-06-01-006  CHEQUES GIRADOS POR PAGAR 2</v>
          </cell>
          <cell r="B77">
            <v>56677376</v>
          </cell>
          <cell r="C77">
            <v>0</v>
          </cell>
          <cell r="D77">
            <v>56677376</v>
          </cell>
          <cell r="E77">
            <v>0</v>
          </cell>
          <cell r="F77">
            <v>56677376</v>
          </cell>
          <cell r="G77">
            <v>0</v>
          </cell>
          <cell r="H77">
            <v>0</v>
          </cell>
          <cell r="I77">
            <v>0</v>
          </cell>
          <cell r="J77">
            <v>-56677376</v>
          </cell>
        </row>
        <row r="78">
          <cell r="A78" t="str">
            <v>3-2-01-01-002  RESULTADOS ACUMULADOS</v>
          </cell>
          <cell r="B78">
            <v>1227224</v>
          </cell>
          <cell r="C78">
            <v>0</v>
          </cell>
          <cell r="D78">
            <v>1227224</v>
          </cell>
          <cell r="E78">
            <v>0</v>
          </cell>
          <cell r="F78">
            <v>1227224</v>
          </cell>
          <cell r="G78">
            <v>0</v>
          </cell>
          <cell r="H78">
            <v>0</v>
          </cell>
          <cell r="I78">
            <v>0</v>
          </cell>
          <cell r="J78">
            <v>-1227224</v>
          </cell>
        </row>
        <row r="79">
          <cell r="A79" t="str">
            <v>4-1-01-01-001  ARRIENDO FIJO</v>
          </cell>
          <cell r="B79">
            <v>6531048</v>
          </cell>
          <cell r="C79">
            <v>800971897</v>
          </cell>
          <cell r="D79">
            <v>0</v>
          </cell>
          <cell r="E79">
            <v>794440849</v>
          </cell>
          <cell r="F79">
            <v>0</v>
          </cell>
          <cell r="G79">
            <v>0</v>
          </cell>
          <cell r="H79">
            <v>0</v>
          </cell>
          <cell r="I79">
            <v>794440849</v>
          </cell>
          <cell r="J79">
            <v>794440849</v>
          </cell>
        </row>
        <row r="80">
          <cell r="A80" t="str">
            <v>4-1-01-01-002  ARRIENDO VARIABLE</v>
          </cell>
          <cell r="B80">
            <v>2940329</v>
          </cell>
          <cell r="C80">
            <v>113803241</v>
          </cell>
          <cell r="D80">
            <v>0</v>
          </cell>
          <cell r="E80">
            <v>110862912</v>
          </cell>
          <cell r="F80">
            <v>0</v>
          </cell>
          <cell r="G80">
            <v>0</v>
          </cell>
          <cell r="H80">
            <v>0</v>
          </cell>
          <cell r="I80">
            <v>110862912</v>
          </cell>
          <cell r="J80">
            <v>110862912</v>
          </cell>
        </row>
        <row r="81">
          <cell r="A81" t="str">
            <v>4-1-01-01-005  CONSUMOS DE AGUAS</v>
          </cell>
          <cell r="B81">
            <v>273491</v>
          </cell>
          <cell r="C81">
            <v>6802223</v>
          </cell>
          <cell r="D81">
            <v>0</v>
          </cell>
          <cell r="E81">
            <v>6528732</v>
          </cell>
          <cell r="F81">
            <v>0</v>
          </cell>
          <cell r="G81">
            <v>0</v>
          </cell>
          <cell r="H81">
            <v>0</v>
          </cell>
          <cell r="I81">
            <v>6528732</v>
          </cell>
          <cell r="J81">
            <v>6528732</v>
          </cell>
        </row>
        <row r="82">
          <cell r="A82" t="str">
            <v>4-1-01-01-006  CONSUMOS DE LUZ</v>
          </cell>
          <cell r="B82">
            <v>1044893</v>
          </cell>
          <cell r="C82">
            <v>127314378</v>
          </cell>
          <cell r="D82">
            <v>0</v>
          </cell>
          <cell r="E82">
            <v>126269485</v>
          </cell>
          <cell r="F82">
            <v>0</v>
          </cell>
          <cell r="G82">
            <v>0</v>
          </cell>
          <cell r="H82">
            <v>0</v>
          </cell>
          <cell r="I82">
            <v>126269485</v>
          </cell>
          <cell r="J82">
            <v>126269485</v>
          </cell>
        </row>
        <row r="83">
          <cell r="A83" t="str">
            <v>4-1-01-01-007  CONSUMOS DE GAS</v>
          </cell>
          <cell r="B83">
            <v>0</v>
          </cell>
          <cell r="C83">
            <v>2155313</v>
          </cell>
          <cell r="D83">
            <v>0</v>
          </cell>
          <cell r="E83">
            <v>2155313</v>
          </cell>
          <cell r="F83">
            <v>0</v>
          </cell>
          <cell r="G83">
            <v>0</v>
          </cell>
          <cell r="H83">
            <v>0</v>
          </cell>
          <cell r="I83">
            <v>2155313</v>
          </cell>
          <cell r="J83">
            <v>2155313</v>
          </cell>
        </row>
        <row r="84">
          <cell r="A84" t="str">
            <v>4-1-01-01-008  GASTOS COMUNES</v>
          </cell>
          <cell r="B84">
            <v>866525</v>
          </cell>
          <cell r="C84">
            <v>82658422</v>
          </cell>
          <cell r="D84">
            <v>0</v>
          </cell>
          <cell r="E84">
            <v>81791897</v>
          </cell>
          <cell r="F84">
            <v>0</v>
          </cell>
          <cell r="G84">
            <v>0</v>
          </cell>
          <cell r="H84">
            <v>0</v>
          </cell>
          <cell r="I84">
            <v>81791897</v>
          </cell>
          <cell r="J84">
            <v>81791897</v>
          </cell>
        </row>
        <row r="85">
          <cell r="A85" t="str">
            <v>4-2-01-01-003  DIVIDENDOS RIACHUELO</v>
          </cell>
          <cell r="B85">
            <v>0</v>
          </cell>
          <cell r="C85">
            <v>12500000</v>
          </cell>
          <cell r="D85">
            <v>0</v>
          </cell>
          <cell r="E85">
            <v>12500000</v>
          </cell>
          <cell r="F85">
            <v>0</v>
          </cell>
          <cell r="G85">
            <v>0</v>
          </cell>
          <cell r="H85">
            <v>0</v>
          </cell>
          <cell r="I85">
            <v>12500000</v>
          </cell>
          <cell r="J85">
            <v>12500000</v>
          </cell>
        </row>
        <row r="86">
          <cell r="A86" t="str">
            <v>4-2-01-01-005  INTERESES DE PAGARE</v>
          </cell>
          <cell r="B86">
            <v>0</v>
          </cell>
          <cell r="C86">
            <v>182491</v>
          </cell>
          <cell r="D86">
            <v>0</v>
          </cell>
          <cell r="E86">
            <v>182491</v>
          </cell>
          <cell r="F86">
            <v>0</v>
          </cell>
          <cell r="G86">
            <v>0</v>
          </cell>
          <cell r="H86">
            <v>0</v>
          </cell>
          <cell r="I86">
            <v>182491</v>
          </cell>
          <cell r="J86">
            <v>182491</v>
          </cell>
        </row>
        <row r="87">
          <cell r="A87" t="str">
            <v>4-2-01-01-006  INTERESES DAP US$ BCI</v>
          </cell>
          <cell r="B87">
            <v>0</v>
          </cell>
          <cell r="C87">
            <v>1444192</v>
          </cell>
          <cell r="D87">
            <v>0</v>
          </cell>
          <cell r="E87">
            <v>1444192</v>
          </cell>
          <cell r="F87">
            <v>0</v>
          </cell>
          <cell r="G87">
            <v>0</v>
          </cell>
          <cell r="H87">
            <v>0</v>
          </cell>
          <cell r="I87">
            <v>1444192</v>
          </cell>
          <cell r="J87">
            <v>1444192</v>
          </cell>
        </row>
        <row r="88">
          <cell r="A88" t="str">
            <v>4-2-01-01-010  DIVIDENDOS ACCIONARIO BTG</v>
          </cell>
          <cell r="B88">
            <v>0</v>
          </cell>
          <cell r="C88">
            <v>15962400</v>
          </cell>
          <cell r="D88">
            <v>0</v>
          </cell>
          <cell r="E88">
            <v>15962400</v>
          </cell>
          <cell r="F88">
            <v>0</v>
          </cell>
          <cell r="G88">
            <v>0</v>
          </cell>
          <cell r="H88">
            <v>0</v>
          </cell>
          <cell r="I88">
            <v>15962400</v>
          </cell>
          <cell r="J88">
            <v>15962400</v>
          </cell>
        </row>
        <row r="89">
          <cell r="A89" t="str">
            <v>4-2-01-02-008  ARQUITEC Y HABILITACION  LOCALES</v>
          </cell>
          <cell r="B89">
            <v>0</v>
          </cell>
          <cell r="C89">
            <v>1552943</v>
          </cell>
          <cell r="D89">
            <v>0</v>
          </cell>
          <cell r="E89">
            <v>1552943</v>
          </cell>
          <cell r="F89">
            <v>0</v>
          </cell>
          <cell r="G89">
            <v>0</v>
          </cell>
          <cell r="H89">
            <v>0</v>
          </cell>
          <cell r="I89">
            <v>1552943</v>
          </cell>
          <cell r="J89">
            <v>1552943</v>
          </cell>
        </row>
        <row r="90">
          <cell r="A90" t="str">
            <v>5-1-01-01-001  SERVICIOS DE GUARDIAS</v>
          </cell>
          <cell r="B90">
            <v>72588020</v>
          </cell>
          <cell r="C90">
            <v>2406703</v>
          </cell>
          <cell r="D90">
            <v>70181317</v>
          </cell>
          <cell r="E90">
            <v>0</v>
          </cell>
          <cell r="F90">
            <v>0</v>
          </cell>
          <cell r="G90">
            <v>0</v>
          </cell>
          <cell r="H90">
            <v>70181317</v>
          </cell>
          <cell r="I90">
            <v>0</v>
          </cell>
          <cell r="J90">
            <v>-70181317</v>
          </cell>
        </row>
        <row r="91">
          <cell r="A91" t="str">
            <v>5-1-01-01-005  ARTICULOS DE SEGURIDAD</v>
          </cell>
          <cell r="B91">
            <v>148019</v>
          </cell>
          <cell r="C91">
            <v>0</v>
          </cell>
          <cell r="D91">
            <v>148019</v>
          </cell>
          <cell r="E91">
            <v>0</v>
          </cell>
          <cell r="F91">
            <v>0</v>
          </cell>
          <cell r="G91">
            <v>0</v>
          </cell>
          <cell r="H91">
            <v>148019</v>
          </cell>
          <cell r="I91">
            <v>0</v>
          </cell>
          <cell r="J91">
            <v>-148019</v>
          </cell>
        </row>
        <row r="92">
          <cell r="A92" t="str">
            <v>5-1-01-02-002  INSUMOS BANOS</v>
          </cell>
          <cell r="B92">
            <v>54030</v>
          </cell>
          <cell r="C92">
            <v>0</v>
          </cell>
          <cell r="D92">
            <v>54030</v>
          </cell>
          <cell r="E92">
            <v>0</v>
          </cell>
          <cell r="F92">
            <v>0</v>
          </cell>
          <cell r="G92">
            <v>0</v>
          </cell>
          <cell r="H92">
            <v>54030</v>
          </cell>
          <cell r="I92">
            <v>0</v>
          </cell>
          <cell r="J92">
            <v>-54030</v>
          </cell>
        </row>
        <row r="93">
          <cell r="A93" t="str">
            <v>5-1-01-02-003  RETIRO BASURA O ESCOMBROS</v>
          </cell>
          <cell r="B93">
            <v>1640124</v>
          </cell>
          <cell r="C93">
            <v>0</v>
          </cell>
          <cell r="D93">
            <v>1640124</v>
          </cell>
          <cell r="E93">
            <v>0</v>
          </cell>
          <cell r="F93">
            <v>0</v>
          </cell>
          <cell r="G93">
            <v>0</v>
          </cell>
          <cell r="H93">
            <v>1640124</v>
          </cell>
          <cell r="I93">
            <v>0</v>
          </cell>
          <cell r="J93">
            <v>-1640124</v>
          </cell>
        </row>
        <row r="94">
          <cell r="A94" t="str">
            <v>5-1-01-03-001  SERVICIOS DE JARDINES Y PAISAJISMO</v>
          </cell>
          <cell r="B94">
            <v>1766430</v>
          </cell>
          <cell r="C94">
            <v>0</v>
          </cell>
          <cell r="D94">
            <v>1766430</v>
          </cell>
          <cell r="E94">
            <v>0</v>
          </cell>
          <cell r="F94">
            <v>0</v>
          </cell>
          <cell r="G94">
            <v>0</v>
          </cell>
          <cell r="H94">
            <v>1766430</v>
          </cell>
          <cell r="I94">
            <v>0</v>
          </cell>
          <cell r="J94">
            <v>-1766430</v>
          </cell>
        </row>
        <row r="95">
          <cell r="A95" t="str">
            <v>5-1-01-03-003  CONTROL DE PLAGAS</v>
          </cell>
          <cell r="B95">
            <v>208427</v>
          </cell>
          <cell r="C95">
            <v>0</v>
          </cell>
          <cell r="D95">
            <v>208427</v>
          </cell>
          <cell r="E95">
            <v>0</v>
          </cell>
          <cell r="F95">
            <v>0</v>
          </cell>
          <cell r="G95">
            <v>0</v>
          </cell>
          <cell r="H95">
            <v>208427</v>
          </cell>
          <cell r="I95">
            <v>0</v>
          </cell>
          <cell r="J95">
            <v>-208427</v>
          </cell>
        </row>
        <row r="96">
          <cell r="A96" t="str">
            <v>5-1-01-04-001  MANTENCION TRANSPORTE VERTICAL</v>
          </cell>
          <cell r="B96">
            <v>1310005</v>
          </cell>
          <cell r="C96">
            <v>0</v>
          </cell>
          <cell r="D96">
            <v>1310005</v>
          </cell>
          <cell r="E96">
            <v>0</v>
          </cell>
          <cell r="F96">
            <v>0</v>
          </cell>
          <cell r="G96">
            <v>0</v>
          </cell>
          <cell r="H96">
            <v>1310005</v>
          </cell>
          <cell r="I96">
            <v>0</v>
          </cell>
          <cell r="J96">
            <v>-1310005</v>
          </cell>
        </row>
        <row r="97">
          <cell r="A97" t="str">
            <v>5-1-01-04-002  MANTENCION TRANSPORTE VERTICAL CORRECTIVA</v>
          </cell>
          <cell r="B97">
            <v>1494354</v>
          </cell>
          <cell r="C97">
            <v>0</v>
          </cell>
          <cell r="D97">
            <v>1494354</v>
          </cell>
          <cell r="E97">
            <v>0</v>
          </cell>
          <cell r="F97">
            <v>0</v>
          </cell>
          <cell r="G97">
            <v>0</v>
          </cell>
          <cell r="H97">
            <v>1494354</v>
          </cell>
          <cell r="I97">
            <v>0</v>
          </cell>
          <cell r="J97">
            <v>-1494354</v>
          </cell>
        </row>
        <row r="98">
          <cell r="A98" t="str">
            <v>5-1-01-04-004  MANTENCION BOMBAS AP CORRECTIVA</v>
          </cell>
          <cell r="B98">
            <v>895000</v>
          </cell>
          <cell r="C98">
            <v>0</v>
          </cell>
          <cell r="D98">
            <v>895000</v>
          </cell>
          <cell r="E98">
            <v>0</v>
          </cell>
          <cell r="F98">
            <v>0</v>
          </cell>
          <cell r="G98">
            <v>0</v>
          </cell>
          <cell r="H98">
            <v>895000</v>
          </cell>
          <cell r="I98">
            <v>0</v>
          </cell>
          <cell r="J98">
            <v>-895000</v>
          </cell>
        </row>
        <row r="99">
          <cell r="A99" t="str">
            <v>5-1-01-04-010  MANTENCION ALCANTARILLADOS</v>
          </cell>
          <cell r="B99">
            <v>450000</v>
          </cell>
          <cell r="C99">
            <v>225000</v>
          </cell>
          <cell r="D99">
            <v>225000</v>
          </cell>
          <cell r="E99">
            <v>0</v>
          </cell>
          <cell r="F99">
            <v>0</v>
          </cell>
          <cell r="G99">
            <v>0</v>
          </cell>
          <cell r="H99">
            <v>225000</v>
          </cell>
          <cell r="I99">
            <v>0</v>
          </cell>
          <cell r="J99">
            <v>-225000</v>
          </cell>
        </row>
        <row r="100">
          <cell r="A100" t="str">
            <v>5-1-01-04-011  MANTENCION GENERAL</v>
          </cell>
          <cell r="B100">
            <v>24223599</v>
          </cell>
          <cell r="C100">
            <v>9085</v>
          </cell>
          <cell r="D100">
            <v>24214514</v>
          </cell>
          <cell r="E100">
            <v>0</v>
          </cell>
          <cell r="F100">
            <v>0</v>
          </cell>
          <cell r="G100">
            <v>0</v>
          </cell>
          <cell r="H100">
            <v>24214514</v>
          </cell>
          <cell r="I100">
            <v>0</v>
          </cell>
          <cell r="J100">
            <v>-24214514</v>
          </cell>
        </row>
        <row r="101">
          <cell r="A101" t="str">
            <v>5-1-01-04-016  MANTENCION CCTV CORRECTIVA</v>
          </cell>
          <cell r="B101">
            <v>537798</v>
          </cell>
          <cell r="C101">
            <v>0</v>
          </cell>
          <cell r="D101">
            <v>537798</v>
          </cell>
          <cell r="E101">
            <v>0</v>
          </cell>
          <cell r="F101">
            <v>0</v>
          </cell>
          <cell r="G101">
            <v>0</v>
          </cell>
          <cell r="H101">
            <v>537798</v>
          </cell>
          <cell r="I101">
            <v>0</v>
          </cell>
          <cell r="J101">
            <v>-537798</v>
          </cell>
        </row>
        <row r="102">
          <cell r="A102" t="str">
            <v>5-1-01-04-017  MANTENCION CLIMA CORRECTIVA</v>
          </cell>
          <cell r="B102">
            <v>230434</v>
          </cell>
          <cell r="C102">
            <v>0</v>
          </cell>
          <cell r="D102">
            <v>230434</v>
          </cell>
          <cell r="E102">
            <v>0</v>
          </cell>
          <cell r="F102">
            <v>0</v>
          </cell>
          <cell r="G102">
            <v>0</v>
          </cell>
          <cell r="H102">
            <v>230434</v>
          </cell>
          <cell r="I102">
            <v>0</v>
          </cell>
          <cell r="J102">
            <v>-230434</v>
          </cell>
        </row>
        <row r="103">
          <cell r="A103" t="str">
            <v>5-1-01-05-006  COMPRAS PETROLEO GAS BENCINA</v>
          </cell>
          <cell r="B103">
            <v>656896</v>
          </cell>
          <cell r="C103">
            <v>0</v>
          </cell>
          <cell r="D103">
            <v>656896</v>
          </cell>
          <cell r="E103">
            <v>0</v>
          </cell>
          <cell r="F103">
            <v>0</v>
          </cell>
          <cell r="G103">
            <v>0</v>
          </cell>
          <cell r="H103">
            <v>656896</v>
          </cell>
          <cell r="I103">
            <v>0</v>
          </cell>
          <cell r="J103">
            <v>-656896</v>
          </cell>
        </row>
        <row r="104">
          <cell r="A104" t="str">
            <v>5-1-01-06-001  CONSUMO AGUA COMUN</v>
          </cell>
          <cell r="B104">
            <v>7662902</v>
          </cell>
          <cell r="C104">
            <v>943004</v>
          </cell>
          <cell r="D104">
            <v>6719898</v>
          </cell>
          <cell r="E104">
            <v>0</v>
          </cell>
          <cell r="F104">
            <v>0</v>
          </cell>
          <cell r="G104">
            <v>0</v>
          </cell>
          <cell r="H104">
            <v>6719898</v>
          </cell>
          <cell r="I104">
            <v>0</v>
          </cell>
          <cell r="J104">
            <v>-6719898</v>
          </cell>
        </row>
        <row r="105">
          <cell r="A105" t="str">
            <v>5-1-01-06-002  CONSUMO ENERGIA COMUN</v>
          </cell>
          <cell r="B105">
            <v>53955526</v>
          </cell>
          <cell r="C105">
            <v>413</v>
          </cell>
          <cell r="D105">
            <v>53955113</v>
          </cell>
          <cell r="E105">
            <v>0</v>
          </cell>
          <cell r="F105">
            <v>0</v>
          </cell>
          <cell r="G105">
            <v>0</v>
          </cell>
          <cell r="H105">
            <v>53955113</v>
          </cell>
          <cell r="I105">
            <v>0</v>
          </cell>
          <cell r="J105">
            <v>-53955113</v>
          </cell>
        </row>
        <row r="106">
          <cell r="A106" t="str">
            <v>5-1-01-06-003  GASTO COMUN PROPIO</v>
          </cell>
          <cell r="B106">
            <v>259220</v>
          </cell>
          <cell r="C106">
            <v>0</v>
          </cell>
          <cell r="D106">
            <v>259220</v>
          </cell>
          <cell r="E106">
            <v>0</v>
          </cell>
          <cell r="F106">
            <v>0</v>
          </cell>
          <cell r="G106">
            <v>0</v>
          </cell>
          <cell r="H106">
            <v>259220</v>
          </cell>
          <cell r="I106">
            <v>0</v>
          </cell>
          <cell r="J106">
            <v>-259220</v>
          </cell>
        </row>
        <row r="107">
          <cell r="A107" t="str">
            <v>5-1-01-06-004  SERVICIOS INFORMATICOS DE SISTEMAS</v>
          </cell>
          <cell r="B107">
            <v>836647</v>
          </cell>
          <cell r="C107">
            <v>0</v>
          </cell>
          <cell r="D107">
            <v>836647</v>
          </cell>
          <cell r="E107">
            <v>0</v>
          </cell>
          <cell r="F107">
            <v>0</v>
          </cell>
          <cell r="G107">
            <v>0</v>
          </cell>
          <cell r="H107">
            <v>836647</v>
          </cell>
          <cell r="I107">
            <v>0</v>
          </cell>
          <cell r="J107">
            <v>-836647</v>
          </cell>
        </row>
        <row r="108">
          <cell r="A108" t="str">
            <v>5-1-01-07-001  TELEFONO</v>
          </cell>
          <cell r="B108">
            <v>288919</v>
          </cell>
          <cell r="C108">
            <v>0</v>
          </cell>
          <cell r="D108">
            <v>288919</v>
          </cell>
          <cell r="E108">
            <v>0</v>
          </cell>
          <cell r="F108">
            <v>0</v>
          </cell>
          <cell r="G108">
            <v>0</v>
          </cell>
          <cell r="H108">
            <v>288919</v>
          </cell>
          <cell r="I108">
            <v>0</v>
          </cell>
          <cell r="J108">
            <v>-288919</v>
          </cell>
        </row>
        <row r="109">
          <cell r="A109" t="str">
            <v>5-1-01-07-002  INTERNET</v>
          </cell>
          <cell r="B109">
            <v>1813531</v>
          </cell>
          <cell r="C109">
            <v>0</v>
          </cell>
          <cell r="D109">
            <v>1813531</v>
          </cell>
          <cell r="E109">
            <v>0</v>
          </cell>
          <cell r="F109">
            <v>0</v>
          </cell>
          <cell r="G109">
            <v>0</v>
          </cell>
          <cell r="H109">
            <v>1813531</v>
          </cell>
          <cell r="I109">
            <v>0</v>
          </cell>
          <cell r="J109">
            <v>-1813531</v>
          </cell>
        </row>
        <row r="110">
          <cell r="A110" t="str">
            <v>5-1-01-07-005  ARTICULOS DE OFICINA</v>
          </cell>
          <cell r="B110">
            <v>64747</v>
          </cell>
          <cell r="C110">
            <v>0</v>
          </cell>
          <cell r="D110">
            <v>64747</v>
          </cell>
          <cell r="E110">
            <v>0</v>
          </cell>
          <cell r="F110">
            <v>0</v>
          </cell>
          <cell r="G110">
            <v>0</v>
          </cell>
          <cell r="H110">
            <v>64747</v>
          </cell>
          <cell r="I110">
            <v>0</v>
          </cell>
          <cell r="J110">
            <v>-64747</v>
          </cell>
        </row>
        <row r="111">
          <cell r="A111" t="str">
            <v>5-1-01-08-001  SEGUROS BIENES FISICOS Y RESPONSABILIDAD CIVIL</v>
          </cell>
          <cell r="B111">
            <v>4679624</v>
          </cell>
          <cell r="C111">
            <v>0</v>
          </cell>
          <cell r="D111">
            <v>4679624</v>
          </cell>
          <cell r="E111">
            <v>0</v>
          </cell>
          <cell r="F111">
            <v>0</v>
          </cell>
          <cell r="G111">
            <v>0</v>
          </cell>
          <cell r="H111">
            <v>4679624</v>
          </cell>
          <cell r="I111">
            <v>0</v>
          </cell>
          <cell r="J111">
            <v>-4679624</v>
          </cell>
        </row>
        <row r="112">
          <cell r="A112" t="str">
            <v>5-1-01-10-003  REMUNERACIONES TENS Y RRHH</v>
          </cell>
          <cell r="B112">
            <v>4697388</v>
          </cell>
          <cell r="C112">
            <v>0</v>
          </cell>
          <cell r="D112">
            <v>4697388</v>
          </cell>
          <cell r="E112">
            <v>0</v>
          </cell>
          <cell r="F112">
            <v>0</v>
          </cell>
          <cell r="G112">
            <v>0</v>
          </cell>
          <cell r="H112">
            <v>4697388</v>
          </cell>
          <cell r="I112">
            <v>0</v>
          </cell>
          <cell r="J112">
            <v>-4697388</v>
          </cell>
        </row>
        <row r="113">
          <cell r="A113" t="str">
            <v>5-1-01-11-001  HABILITACIÓN LOCALES OUTLET FLORIDA</v>
          </cell>
          <cell r="B113">
            <v>13902333</v>
          </cell>
          <cell r="C113">
            <v>0</v>
          </cell>
          <cell r="D113">
            <v>13902333</v>
          </cell>
          <cell r="E113">
            <v>0</v>
          </cell>
          <cell r="F113">
            <v>0</v>
          </cell>
          <cell r="G113">
            <v>0</v>
          </cell>
          <cell r="H113">
            <v>13902333</v>
          </cell>
          <cell r="I113">
            <v>0</v>
          </cell>
          <cell r="J113">
            <v>-13902333</v>
          </cell>
        </row>
        <row r="114">
          <cell r="A114" t="str">
            <v>5-1-01-11-002  HABILITACIÓN LOCALES STRIP FLORIDA</v>
          </cell>
          <cell r="B114">
            <v>2039346</v>
          </cell>
          <cell r="C114">
            <v>0</v>
          </cell>
          <cell r="D114">
            <v>2039346</v>
          </cell>
          <cell r="E114">
            <v>0</v>
          </cell>
          <cell r="F114">
            <v>0</v>
          </cell>
          <cell r="G114">
            <v>0</v>
          </cell>
          <cell r="H114">
            <v>2039346</v>
          </cell>
          <cell r="I114">
            <v>0</v>
          </cell>
          <cell r="J114">
            <v>-2039346</v>
          </cell>
        </row>
        <row r="115">
          <cell r="A115" t="str">
            <v>5-1-03-01-004  PROMOCIONES VARIAS</v>
          </cell>
          <cell r="B115">
            <v>932228</v>
          </cell>
          <cell r="C115">
            <v>0</v>
          </cell>
          <cell r="D115">
            <v>932228</v>
          </cell>
          <cell r="E115">
            <v>0</v>
          </cell>
          <cell r="F115">
            <v>0</v>
          </cell>
          <cell r="G115">
            <v>0</v>
          </cell>
          <cell r="H115">
            <v>932228</v>
          </cell>
          <cell r="I115">
            <v>0</v>
          </cell>
          <cell r="J115">
            <v>-932228</v>
          </cell>
        </row>
        <row r="116">
          <cell r="A116" t="str">
            <v>5-2-01-01-001  REMUNERACIONES BRUTAS</v>
          </cell>
          <cell r="B116">
            <v>106776074</v>
          </cell>
          <cell r="C116">
            <v>0</v>
          </cell>
          <cell r="D116">
            <v>106776074</v>
          </cell>
          <cell r="E116">
            <v>0</v>
          </cell>
          <cell r="F116">
            <v>0</v>
          </cell>
          <cell r="G116">
            <v>0</v>
          </cell>
          <cell r="H116">
            <v>106776074</v>
          </cell>
          <cell r="I116">
            <v>0</v>
          </cell>
          <cell r="J116">
            <v>-106776074</v>
          </cell>
        </row>
        <row r="117">
          <cell r="A117" t="str">
            <v>5-2-01-01-002  APORTES PATRONALES</v>
          </cell>
          <cell r="B117">
            <v>1778085</v>
          </cell>
          <cell r="C117">
            <v>0</v>
          </cell>
          <cell r="D117">
            <v>1778085</v>
          </cell>
          <cell r="E117">
            <v>0</v>
          </cell>
          <cell r="F117">
            <v>0</v>
          </cell>
          <cell r="G117">
            <v>0</v>
          </cell>
          <cell r="H117">
            <v>1778085</v>
          </cell>
          <cell r="I117">
            <v>0</v>
          </cell>
          <cell r="J117">
            <v>-1778085</v>
          </cell>
        </row>
        <row r="118">
          <cell r="A118" t="str">
            <v>5-2-01-01-004  GRATIFICACIONES</v>
          </cell>
          <cell r="B118">
            <v>4116527</v>
          </cell>
          <cell r="C118">
            <v>0</v>
          </cell>
          <cell r="D118">
            <v>4116527</v>
          </cell>
          <cell r="E118">
            <v>0</v>
          </cell>
          <cell r="F118">
            <v>0</v>
          </cell>
          <cell r="G118">
            <v>0</v>
          </cell>
          <cell r="H118">
            <v>4116527</v>
          </cell>
          <cell r="I118">
            <v>0</v>
          </cell>
          <cell r="J118">
            <v>-4116527</v>
          </cell>
        </row>
        <row r="119">
          <cell r="A119" t="str">
            <v>5-2-01-01-006  OTROS NO IMPONIBLES</v>
          </cell>
          <cell r="B119">
            <v>3243205</v>
          </cell>
          <cell r="C119">
            <v>0</v>
          </cell>
          <cell r="D119">
            <v>3243205</v>
          </cell>
          <cell r="E119">
            <v>0</v>
          </cell>
          <cell r="F119">
            <v>0</v>
          </cell>
          <cell r="G119">
            <v>0</v>
          </cell>
          <cell r="H119">
            <v>3243205</v>
          </cell>
          <cell r="I119">
            <v>0</v>
          </cell>
          <cell r="J119">
            <v>-3243205</v>
          </cell>
        </row>
        <row r="120">
          <cell r="A120" t="str">
            <v>5-2-01-01-008  SEGURO COMPLEMENTARIO SALUD</v>
          </cell>
          <cell r="B120">
            <v>2421471</v>
          </cell>
          <cell r="C120">
            <v>1137737</v>
          </cell>
          <cell r="D120">
            <v>1283734</v>
          </cell>
          <cell r="E120">
            <v>0</v>
          </cell>
          <cell r="F120">
            <v>0</v>
          </cell>
          <cell r="G120">
            <v>0</v>
          </cell>
          <cell r="H120">
            <v>1283734</v>
          </cell>
          <cell r="I120">
            <v>0</v>
          </cell>
          <cell r="J120">
            <v>-1283734</v>
          </cell>
        </row>
        <row r="121">
          <cell r="A121" t="str">
            <v>5-2-01-02-001  HONORARIOS CONTABLES</v>
          </cell>
          <cell r="B121">
            <v>3900761</v>
          </cell>
          <cell r="C121">
            <v>0</v>
          </cell>
          <cell r="D121">
            <v>3900761</v>
          </cell>
          <cell r="E121">
            <v>0</v>
          </cell>
          <cell r="F121">
            <v>0</v>
          </cell>
          <cell r="G121">
            <v>0</v>
          </cell>
          <cell r="H121">
            <v>3900761</v>
          </cell>
          <cell r="I121">
            <v>0</v>
          </cell>
          <cell r="J121">
            <v>-3900761</v>
          </cell>
        </row>
        <row r="122">
          <cell r="A122" t="str">
            <v>5-2-01-02-002  HONORARIOS SERVICIOS LEGALES</v>
          </cell>
          <cell r="B122">
            <v>1016698</v>
          </cell>
          <cell r="C122">
            <v>0</v>
          </cell>
          <cell r="D122">
            <v>1016698</v>
          </cell>
          <cell r="E122">
            <v>0</v>
          </cell>
          <cell r="F122">
            <v>0</v>
          </cell>
          <cell r="G122">
            <v>0</v>
          </cell>
          <cell r="H122">
            <v>1016698</v>
          </cell>
          <cell r="I122">
            <v>0</v>
          </cell>
          <cell r="J122">
            <v>-1016698</v>
          </cell>
        </row>
        <row r="123">
          <cell r="A123" t="str">
            <v>5-2-01-02-003  ASESORIAS Y CONSULTORIAS</v>
          </cell>
          <cell r="B123">
            <v>13282037</v>
          </cell>
          <cell r="C123">
            <v>0</v>
          </cell>
          <cell r="D123">
            <v>13282037</v>
          </cell>
          <cell r="E123">
            <v>0</v>
          </cell>
          <cell r="F123">
            <v>0</v>
          </cell>
          <cell r="G123">
            <v>0</v>
          </cell>
          <cell r="H123">
            <v>13282037</v>
          </cell>
          <cell r="I123">
            <v>0</v>
          </cell>
          <cell r="J123">
            <v>-13282037</v>
          </cell>
        </row>
        <row r="124">
          <cell r="A124" t="str">
            <v>5-2-01-02-004  SERVICIOS DE ASEO</v>
          </cell>
          <cell r="B124">
            <v>22077345</v>
          </cell>
          <cell r="C124">
            <v>0</v>
          </cell>
          <cell r="D124">
            <v>22077345</v>
          </cell>
          <cell r="E124">
            <v>0</v>
          </cell>
          <cell r="F124">
            <v>0</v>
          </cell>
          <cell r="G124">
            <v>0</v>
          </cell>
          <cell r="H124">
            <v>22077345</v>
          </cell>
          <cell r="I124">
            <v>0</v>
          </cell>
          <cell r="J124">
            <v>-22077345</v>
          </cell>
        </row>
        <row r="125">
          <cell r="A125" t="str">
            <v>5-2-01-02-005  SERVICIOS DE ARQUITECTURA</v>
          </cell>
          <cell r="B125">
            <v>1381572</v>
          </cell>
          <cell r="C125">
            <v>0</v>
          </cell>
          <cell r="D125">
            <v>1381572</v>
          </cell>
          <cell r="E125">
            <v>0</v>
          </cell>
          <cell r="F125">
            <v>0</v>
          </cell>
          <cell r="G125">
            <v>0</v>
          </cell>
          <cell r="H125">
            <v>1381572</v>
          </cell>
          <cell r="I125">
            <v>0</v>
          </cell>
          <cell r="J125">
            <v>-1381572</v>
          </cell>
        </row>
        <row r="126">
          <cell r="A126" t="str">
            <v>5-2-01-02-007  SERVICIOS DE PUBLICIDAD Y MARKETING</v>
          </cell>
          <cell r="B126">
            <v>3621648</v>
          </cell>
          <cell r="C126">
            <v>0</v>
          </cell>
          <cell r="D126">
            <v>3621648</v>
          </cell>
          <cell r="E126">
            <v>0</v>
          </cell>
          <cell r="F126">
            <v>0</v>
          </cell>
          <cell r="G126">
            <v>0</v>
          </cell>
          <cell r="H126">
            <v>3621648</v>
          </cell>
          <cell r="I126">
            <v>0</v>
          </cell>
          <cell r="J126">
            <v>-3621648</v>
          </cell>
        </row>
        <row r="127">
          <cell r="A127" t="str">
            <v>5-2-01-03-002  GASTOS NOTARIALES</v>
          </cell>
          <cell r="B127">
            <v>136000</v>
          </cell>
          <cell r="C127">
            <v>0</v>
          </cell>
          <cell r="D127">
            <v>136000</v>
          </cell>
          <cell r="E127">
            <v>0</v>
          </cell>
          <cell r="F127">
            <v>0</v>
          </cell>
          <cell r="G127">
            <v>0</v>
          </cell>
          <cell r="H127">
            <v>136000</v>
          </cell>
          <cell r="I127">
            <v>0</v>
          </cell>
          <cell r="J127">
            <v>-136000</v>
          </cell>
        </row>
        <row r="128">
          <cell r="A128" t="str">
            <v>5-2-01-03-004  GASTO IVA PROPORCIONAL</v>
          </cell>
          <cell r="B128">
            <v>9693395</v>
          </cell>
          <cell r="C128">
            <v>0</v>
          </cell>
          <cell r="D128">
            <v>9693395</v>
          </cell>
          <cell r="E128">
            <v>0</v>
          </cell>
          <cell r="F128">
            <v>0</v>
          </cell>
          <cell r="G128">
            <v>0</v>
          </cell>
          <cell r="H128">
            <v>9693395</v>
          </cell>
          <cell r="I128">
            <v>0</v>
          </cell>
          <cell r="J128">
            <v>-9693395</v>
          </cell>
        </row>
        <row r="129">
          <cell r="A129" t="str">
            <v>5-2-01-03-006  GASTOS GENERALES</v>
          </cell>
          <cell r="B129">
            <v>791858</v>
          </cell>
          <cell r="C129">
            <v>0</v>
          </cell>
          <cell r="D129">
            <v>791858</v>
          </cell>
          <cell r="E129">
            <v>0</v>
          </cell>
          <cell r="F129">
            <v>0</v>
          </cell>
          <cell r="G129">
            <v>0</v>
          </cell>
          <cell r="H129">
            <v>791858</v>
          </cell>
          <cell r="I129">
            <v>0</v>
          </cell>
          <cell r="J129">
            <v>-791858</v>
          </cell>
        </row>
        <row r="130">
          <cell r="A130" t="str">
            <v>5-2-01-05-001  GASTOS DE REPRESENTACION</v>
          </cell>
          <cell r="B130">
            <v>2055704</v>
          </cell>
          <cell r="C130">
            <v>0</v>
          </cell>
          <cell r="D130">
            <v>2055704</v>
          </cell>
          <cell r="E130">
            <v>0</v>
          </cell>
          <cell r="F130">
            <v>0</v>
          </cell>
          <cell r="G130">
            <v>0</v>
          </cell>
          <cell r="H130">
            <v>2055704</v>
          </cell>
          <cell r="I130">
            <v>0</v>
          </cell>
          <cell r="J130">
            <v>-2055704</v>
          </cell>
        </row>
        <row r="131">
          <cell r="A131" t="str">
            <v>5-2-01-06-001  ARRIENDOS</v>
          </cell>
          <cell r="B131">
            <v>3975664</v>
          </cell>
          <cell r="C131">
            <v>0</v>
          </cell>
          <cell r="D131">
            <v>3975664</v>
          </cell>
          <cell r="E131">
            <v>0</v>
          </cell>
          <cell r="F131">
            <v>0</v>
          </cell>
          <cell r="G131">
            <v>0</v>
          </cell>
          <cell r="H131">
            <v>3975664</v>
          </cell>
          <cell r="I131">
            <v>0</v>
          </cell>
          <cell r="J131">
            <v>-3975664</v>
          </cell>
        </row>
        <row r="132">
          <cell r="A132" t="str">
            <v>5-3-01-01-001  INTERESES LEASING</v>
          </cell>
          <cell r="B132">
            <v>72463197</v>
          </cell>
          <cell r="C132">
            <v>0</v>
          </cell>
          <cell r="D132">
            <v>72463197</v>
          </cell>
          <cell r="E132">
            <v>0</v>
          </cell>
          <cell r="F132">
            <v>0</v>
          </cell>
          <cell r="G132">
            <v>0</v>
          </cell>
          <cell r="H132">
            <v>72463197</v>
          </cell>
          <cell r="I132">
            <v>0</v>
          </cell>
          <cell r="J132">
            <v>-72463197</v>
          </cell>
        </row>
        <row r="133">
          <cell r="A133" t="str">
            <v>5-3-01-01-002  GASTOS BANCARIOS</v>
          </cell>
          <cell r="B133">
            <v>2048306</v>
          </cell>
          <cell r="C133">
            <v>0</v>
          </cell>
          <cell r="D133">
            <v>2048306</v>
          </cell>
          <cell r="E133">
            <v>0</v>
          </cell>
          <cell r="F133">
            <v>0</v>
          </cell>
          <cell r="G133">
            <v>0</v>
          </cell>
          <cell r="H133">
            <v>2048306</v>
          </cell>
          <cell r="I133">
            <v>0</v>
          </cell>
          <cell r="J133">
            <v>-2048306</v>
          </cell>
        </row>
        <row r="134">
          <cell r="A134" t="str">
            <v>5-3-01-01-003  MULTAS INTERESES Y REAJUSTES</v>
          </cell>
          <cell r="B134">
            <v>615951</v>
          </cell>
          <cell r="C134">
            <v>0</v>
          </cell>
          <cell r="D134">
            <v>615951</v>
          </cell>
          <cell r="E134">
            <v>0</v>
          </cell>
          <cell r="F134">
            <v>0</v>
          </cell>
          <cell r="G134">
            <v>0</v>
          </cell>
          <cell r="H134">
            <v>615951</v>
          </cell>
          <cell r="I134">
            <v>0</v>
          </cell>
          <cell r="J134">
            <v>-615951</v>
          </cell>
        </row>
        <row r="135">
          <cell r="A135" t="str">
            <v>5-3-01-01-005  GASTOS E INTERESES COMERCIALES</v>
          </cell>
          <cell r="B135">
            <v>11147327</v>
          </cell>
          <cell r="C135">
            <v>0</v>
          </cell>
          <cell r="D135">
            <v>11147327</v>
          </cell>
          <cell r="E135">
            <v>0</v>
          </cell>
          <cell r="F135">
            <v>0</v>
          </cell>
          <cell r="G135">
            <v>0</v>
          </cell>
          <cell r="H135">
            <v>11147327</v>
          </cell>
          <cell r="I135">
            <v>0</v>
          </cell>
          <cell r="J135">
            <v>-11147327</v>
          </cell>
        </row>
        <row r="136">
          <cell r="A136" t="str">
            <v>5-3-01-02-003  OTROS EGRESOS</v>
          </cell>
          <cell r="B136">
            <v>0</v>
          </cell>
          <cell r="C136">
            <v>289860</v>
          </cell>
          <cell r="D136">
            <v>0</v>
          </cell>
          <cell r="E136">
            <v>289860</v>
          </cell>
          <cell r="F136">
            <v>0</v>
          </cell>
          <cell r="G136">
            <v>0</v>
          </cell>
          <cell r="H136">
            <v>0</v>
          </cell>
          <cell r="I136">
            <v>289860</v>
          </cell>
          <cell r="J136">
            <v>289860</v>
          </cell>
        </row>
        <row r="137">
          <cell r="A137" t="str">
            <v>5-3-01-02-006  GANANCIA (PERDIDA) SWAP</v>
          </cell>
          <cell r="B137">
            <v>95467797</v>
          </cell>
          <cell r="C137">
            <v>0</v>
          </cell>
          <cell r="D137">
            <v>95467797</v>
          </cell>
          <cell r="E137">
            <v>0</v>
          </cell>
          <cell r="F137">
            <v>0</v>
          </cell>
          <cell r="G137">
            <v>0</v>
          </cell>
          <cell r="H137">
            <v>95467797</v>
          </cell>
          <cell r="I137">
            <v>0</v>
          </cell>
          <cell r="J137">
            <v>-95467797</v>
          </cell>
        </row>
        <row r="138">
          <cell r="A138" t="str">
            <v>5-3-01-02-007  MAYOR / MENOR VALOR DE INVERSIONES</v>
          </cell>
          <cell r="B138">
            <v>7476894</v>
          </cell>
          <cell r="C138">
            <v>32625466</v>
          </cell>
          <cell r="D138">
            <v>0</v>
          </cell>
          <cell r="E138">
            <v>25148572</v>
          </cell>
          <cell r="F138">
            <v>0</v>
          </cell>
          <cell r="G138">
            <v>0</v>
          </cell>
          <cell r="H138">
            <v>0</v>
          </cell>
          <cell r="I138">
            <v>25148572</v>
          </cell>
          <cell r="J138">
            <v>25148572</v>
          </cell>
        </row>
        <row r="139">
          <cell r="A139" t="str">
            <v>5-3-01-03-004  CORRECCION REMANENTE CREDITO FISCAL</v>
          </cell>
          <cell r="B139">
            <v>0</v>
          </cell>
          <cell r="C139">
            <v>4385079</v>
          </cell>
          <cell r="D139">
            <v>0</v>
          </cell>
          <cell r="E139">
            <v>4385079</v>
          </cell>
          <cell r="F139">
            <v>0</v>
          </cell>
          <cell r="G139">
            <v>0</v>
          </cell>
          <cell r="H139">
            <v>0</v>
          </cell>
          <cell r="I139">
            <v>4385079</v>
          </cell>
          <cell r="J139">
            <v>4385079</v>
          </cell>
        </row>
        <row r="140">
          <cell r="A140" t="str">
            <v>5-3-01-03-011  VARIACION USD</v>
          </cell>
          <cell r="B140">
            <v>17846510</v>
          </cell>
          <cell r="C140">
            <v>0</v>
          </cell>
          <cell r="D140">
            <v>17846510</v>
          </cell>
          <cell r="E140">
            <v>0</v>
          </cell>
          <cell r="F140">
            <v>0</v>
          </cell>
          <cell r="G140">
            <v>0</v>
          </cell>
          <cell r="H140">
            <v>17846510</v>
          </cell>
          <cell r="I140">
            <v>0</v>
          </cell>
          <cell r="J140">
            <v>-17846510</v>
          </cell>
        </row>
        <row r="141">
          <cell r="A141" t="str">
            <v>5-3-01-04-003  IMPUESTOS VARIOS</v>
          </cell>
          <cell r="B141">
            <v>3937500</v>
          </cell>
          <cell r="C141">
            <v>0</v>
          </cell>
          <cell r="D141">
            <v>3937500</v>
          </cell>
          <cell r="E141">
            <v>0</v>
          </cell>
          <cell r="F141">
            <v>0</v>
          </cell>
          <cell r="G141">
            <v>0</v>
          </cell>
          <cell r="H141">
            <v>3937500</v>
          </cell>
          <cell r="I141">
            <v>0</v>
          </cell>
          <cell r="J141">
            <v>-3937500</v>
          </cell>
        </row>
        <row r="142">
          <cell r="A142" t="str">
            <v>Sub-Totales</v>
          </cell>
          <cell r="B142">
            <v>9953991069</v>
          </cell>
          <cell r="C142">
            <v>9953991069</v>
          </cell>
          <cell r="D142">
            <v>2003997812</v>
          </cell>
          <cell r="E142">
            <v>2003997812</v>
          </cell>
          <cell r="F142">
            <v>1427589575</v>
          </cell>
          <cell r="G142">
            <v>820483087</v>
          </cell>
          <cell r="H142">
            <v>576408237</v>
          </cell>
          <cell r="I142">
            <v>1183514725</v>
          </cell>
          <cell r="J142">
            <v>0</v>
          </cell>
        </row>
        <row r="143">
          <cell r="A143" t="str">
            <v>Pérdidas / Ganancias</v>
          </cell>
          <cell r="B143"/>
          <cell r="C143"/>
          <cell r="D143"/>
          <cell r="E143"/>
          <cell r="F143"/>
          <cell r="G143">
            <v>607106488</v>
          </cell>
          <cell r="H143">
            <v>607106488</v>
          </cell>
          <cell r="I143"/>
          <cell r="J143">
            <v>0</v>
          </cell>
        </row>
        <row r="144">
          <cell r="A144" t="str">
            <v>Total General</v>
          </cell>
          <cell r="B144">
            <v>9953991069</v>
          </cell>
          <cell r="C144">
            <v>9953991069</v>
          </cell>
          <cell r="D144">
            <v>2003997812</v>
          </cell>
          <cell r="E144">
            <v>2003997812</v>
          </cell>
          <cell r="F144">
            <v>1427589575</v>
          </cell>
          <cell r="G144">
            <v>1427589575</v>
          </cell>
          <cell r="H144">
            <v>1183514725</v>
          </cell>
          <cell r="I144">
            <v>1183514725</v>
          </cell>
          <cell r="J144">
            <v>0</v>
          </cell>
        </row>
      </sheetData>
      <sheetData sheetId="12">
        <row r="1">
          <cell r="A1" t="str">
            <v>INVERSIONES SANTA FIDELMIRA LIMITADA</v>
          </cell>
          <cell r="B1"/>
          <cell r="C1"/>
          <cell r="D1"/>
          <cell r="E1"/>
          <cell r="F1"/>
          <cell r="G1"/>
          <cell r="H1"/>
          <cell r="I1"/>
        </row>
        <row r="2">
          <cell r="A2" t="str">
            <v>ARRIENDO, EXPLOTACION  BIENES INMUEBLES</v>
          </cell>
          <cell r="B2"/>
          <cell r="C2"/>
          <cell r="D2"/>
          <cell r="E2"/>
          <cell r="F2"/>
          <cell r="G2"/>
          <cell r="H2"/>
          <cell r="I2"/>
        </row>
        <row r="3">
          <cell r="A3" t="str">
            <v>MAIPU #599</v>
          </cell>
          <cell r="B3"/>
          <cell r="C3"/>
          <cell r="D3"/>
          <cell r="E3"/>
          <cell r="F3"/>
          <cell r="G3"/>
          <cell r="H3"/>
          <cell r="I3"/>
        </row>
        <row r="4">
          <cell r="A4" t="str">
            <v>LINARES</v>
          </cell>
          <cell r="B4"/>
          <cell r="C4"/>
          <cell r="D4"/>
          <cell r="E4"/>
          <cell r="F4"/>
          <cell r="G4"/>
          <cell r="H4"/>
          <cell r="I4"/>
        </row>
        <row r="5">
          <cell r="A5" t="str">
            <v>LINARES</v>
          </cell>
          <cell r="B5"/>
          <cell r="C5"/>
          <cell r="D5"/>
          <cell r="E5"/>
          <cell r="F5"/>
          <cell r="G5"/>
          <cell r="H5"/>
          <cell r="I5"/>
        </row>
        <row r="6">
          <cell r="A6" t="str">
            <v>79.991.280-5</v>
          </cell>
          <cell r="B6"/>
          <cell r="C6"/>
          <cell r="D6"/>
          <cell r="E6"/>
          <cell r="F6"/>
          <cell r="G6"/>
          <cell r="H6" t="str">
            <v>Fecha :</v>
          </cell>
          <cell r="I6" t="str">
            <v>14/10/2025</v>
          </cell>
        </row>
        <row r="8">
          <cell r="A8" t="str">
            <v>Balance Tributario</v>
          </cell>
          <cell r="B8"/>
          <cell r="C8"/>
          <cell r="D8"/>
          <cell r="E8"/>
          <cell r="F8"/>
          <cell r="G8"/>
          <cell r="H8"/>
          <cell r="I8"/>
        </row>
        <row r="9">
          <cell r="A9" t="str">
            <v xml:space="preserve"> Desde :Marzo/2025</v>
          </cell>
          <cell r="B9"/>
          <cell r="C9"/>
          <cell r="D9"/>
          <cell r="E9"/>
          <cell r="F9"/>
          <cell r="G9"/>
          <cell r="H9"/>
          <cell r="I9"/>
        </row>
        <row r="10">
          <cell r="A10" t="str">
            <v xml:space="preserve"> Hasta :Marzo/2025</v>
          </cell>
          <cell r="B10"/>
          <cell r="C10"/>
          <cell r="D10"/>
          <cell r="E10"/>
          <cell r="F10"/>
          <cell r="G10"/>
          <cell r="H10"/>
          <cell r="I10"/>
        </row>
        <row r="12">
          <cell r="A12" t="str">
            <v>Cuenta Contable</v>
          </cell>
          <cell r="B12" t="str">
            <v>Valores Acumulados</v>
          </cell>
          <cell r="C12"/>
          <cell r="D12" t="str">
            <v>Saldos</v>
          </cell>
          <cell r="E12"/>
          <cell r="F12" t="str">
            <v>Inventario</v>
          </cell>
          <cell r="G12"/>
          <cell r="H12" t="str">
            <v>Resultados</v>
          </cell>
          <cell r="I12"/>
        </row>
        <row r="13">
          <cell r="A13"/>
          <cell r="B13" t="str">
            <v>Débitos</v>
          </cell>
          <cell r="C13" t="str">
            <v>Créditos</v>
          </cell>
          <cell r="D13" t="str">
            <v>Deudor</v>
          </cell>
          <cell r="E13" t="str">
            <v>Acreedor</v>
          </cell>
          <cell r="F13" t="str">
            <v>Activo</v>
          </cell>
          <cell r="G13" t="str">
            <v>Pasivo</v>
          </cell>
          <cell r="H13" t="str">
            <v>Pérdida</v>
          </cell>
          <cell r="I13" t="str">
            <v>Ganancia</v>
          </cell>
        </row>
        <row r="14">
          <cell r="A14" t="str">
            <v>1-1-10-01-004  CAJA CHICA OUTLET TALCA</v>
          </cell>
          <cell r="B14">
            <v>2000000</v>
          </cell>
          <cell r="C14">
            <v>2167770</v>
          </cell>
          <cell r="D14">
            <v>0</v>
          </cell>
          <cell r="E14">
            <v>167770</v>
          </cell>
          <cell r="F14">
            <v>0</v>
          </cell>
          <cell r="G14">
            <v>167770</v>
          </cell>
          <cell r="H14">
            <v>0</v>
          </cell>
          <cell r="I14">
            <v>0</v>
          </cell>
          <cell r="J14">
            <v>-167770</v>
          </cell>
        </row>
        <row r="15">
          <cell r="A15" t="str">
            <v>1-1-10-01-005  CAJA CHICA LINARES</v>
          </cell>
          <cell r="B15">
            <v>0</v>
          </cell>
          <cell r="C15">
            <v>502650</v>
          </cell>
          <cell r="D15">
            <v>0</v>
          </cell>
          <cell r="E15">
            <v>502650</v>
          </cell>
          <cell r="F15">
            <v>0</v>
          </cell>
          <cell r="G15">
            <v>502650</v>
          </cell>
          <cell r="H15">
            <v>0</v>
          </cell>
          <cell r="I15">
            <v>0</v>
          </cell>
          <cell r="J15">
            <v>-502650</v>
          </cell>
        </row>
        <row r="16">
          <cell r="A16" t="str">
            <v>1-1-10-01-006  CAJA CHICA NOTARIA GUERRERO</v>
          </cell>
          <cell r="B16">
            <v>0</v>
          </cell>
          <cell r="C16">
            <v>300000</v>
          </cell>
          <cell r="D16">
            <v>0</v>
          </cell>
          <cell r="E16">
            <v>300000</v>
          </cell>
          <cell r="F16">
            <v>0</v>
          </cell>
          <cell r="G16">
            <v>300000</v>
          </cell>
          <cell r="H16">
            <v>0</v>
          </cell>
          <cell r="I16">
            <v>0</v>
          </cell>
          <cell r="J16">
            <v>-300000</v>
          </cell>
        </row>
        <row r="17">
          <cell r="A17" t="str">
            <v>1-1-10-01-007  CAJA CHICA SANTIAGO</v>
          </cell>
          <cell r="B17">
            <v>287306</v>
          </cell>
          <cell r="C17">
            <v>626663</v>
          </cell>
          <cell r="D17">
            <v>0</v>
          </cell>
          <cell r="E17">
            <v>339357</v>
          </cell>
          <cell r="F17">
            <v>0</v>
          </cell>
          <cell r="G17">
            <v>339357</v>
          </cell>
          <cell r="H17">
            <v>0</v>
          </cell>
          <cell r="I17">
            <v>0</v>
          </cell>
          <cell r="J17">
            <v>-339357</v>
          </cell>
        </row>
        <row r="18">
          <cell r="A18" t="str">
            <v>1-1-10-02-002  BANCO SANTANDER 25996240</v>
          </cell>
          <cell r="B18">
            <v>1842789203</v>
          </cell>
          <cell r="C18">
            <v>1840979838</v>
          </cell>
          <cell r="D18">
            <v>1809365</v>
          </cell>
          <cell r="E18">
            <v>0</v>
          </cell>
          <cell r="F18">
            <v>1809365</v>
          </cell>
          <cell r="G18">
            <v>0</v>
          </cell>
          <cell r="H18">
            <v>0</v>
          </cell>
          <cell r="I18">
            <v>0</v>
          </cell>
          <cell r="J18">
            <v>1809365</v>
          </cell>
        </row>
        <row r="19">
          <cell r="A19" t="str">
            <v>1-1-10-02-004  BANCO CREDITO E INVERSIONES</v>
          </cell>
          <cell r="B19">
            <v>133076273</v>
          </cell>
          <cell r="C19">
            <v>160622486</v>
          </cell>
          <cell r="D19">
            <v>0</v>
          </cell>
          <cell r="E19">
            <v>27546213</v>
          </cell>
          <cell r="F19">
            <v>0</v>
          </cell>
          <cell r="G19">
            <v>27546213</v>
          </cell>
          <cell r="H19">
            <v>0</v>
          </cell>
          <cell r="I19">
            <v>0</v>
          </cell>
          <cell r="J19">
            <v>-27546213</v>
          </cell>
        </row>
        <row r="20">
          <cell r="A20" t="str">
            <v>1-1-10-02-005  BANCO ITAU</v>
          </cell>
          <cell r="B20">
            <v>299127673</v>
          </cell>
          <cell r="C20">
            <v>302971515</v>
          </cell>
          <cell r="D20">
            <v>0</v>
          </cell>
          <cell r="E20">
            <v>3843842</v>
          </cell>
          <cell r="F20">
            <v>0</v>
          </cell>
          <cell r="G20">
            <v>3843842</v>
          </cell>
          <cell r="H20">
            <v>0</v>
          </cell>
          <cell r="I20">
            <v>0</v>
          </cell>
          <cell r="J20">
            <v>-3843842</v>
          </cell>
        </row>
        <row r="21">
          <cell r="A21" t="str">
            <v>1-1-10-02-006  BANCO INTERNACIONAL</v>
          </cell>
          <cell r="B21">
            <v>59193336</v>
          </cell>
          <cell r="C21">
            <v>29596668</v>
          </cell>
          <cell r="D21">
            <v>29596668</v>
          </cell>
          <cell r="E21">
            <v>0</v>
          </cell>
          <cell r="F21">
            <v>29596668</v>
          </cell>
          <cell r="G21">
            <v>0</v>
          </cell>
          <cell r="H21">
            <v>0</v>
          </cell>
          <cell r="I21">
            <v>0</v>
          </cell>
          <cell r="J21">
            <v>29596668</v>
          </cell>
        </row>
        <row r="22">
          <cell r="A22" t="str">
            <v>1-1-10-02-007  BANCO BCI CHILE DOLARES</v>
          </cell>
          <cell r="B22">
            <v>248069119</v>
          </cell>
          <cell r="C22">
            <v>0</v>
          </cell>
          <cell r="D22">
            <v>248069119</v>
          </cell>
          <cell r="E22">
            <v>0</v>
          </cell>
          <cell r="F22">
            <v>248069119</v>
          </cell>
          <cell r="G22">
            <v>0</v>
          </cell>
          <cell r="H22">
            <v>0</v>
          </cell>
          <cell r="I22">
            <v>0</v>
          </cell>
          <cell r="J22">
            <v>248069119</v>
          </cell>
        </row>
        <row r="23">
          <cell r="A23" t="str">
            <v>1-1-20-01-003  ACCIONES CFINRENTAS BANCO SANTANDER</v>
          </cell>
          <cell r="B23">
            <v>0</v>
          </cell>
          <cell r="C23">
            <v>651986</v>
          </cell>
          <cell r="D23">
            <v>0</v>
          </cell>
          <cell r="E23">
            <v>651986</v>
          </cell>
          <cell r="F23">
            <v>0</v>
          </cell>
          <cell r="G23">
            <v>651986</v>
          </cell>
          <cell r="H23">
            <v>0</v>
          </cell>
          <cell r="I23">
            <v>0</v>
          </cell>
          <cell r="J23">
            <v>-651986</v>
          </cell>
        </row>
        <row r="24">
          <cell r="A24" t="str">
            <v>1-1-20-01-006  FONDOS MUTUOS BCI PESOS</v>
          </cell>
          <cell r="B24">
            <v>2705569</v>
          </cell>
          <cell r="C24">
            <v>0</v>
          </cell>
          <cell r="D24">
            <v>2705569</v>
          </cell>
          <cell r="E24">
            <v>0</v>
          </cell>
          <cell r="F24">
            <v>2705569</v>
          </cell>
          <cell r="G24">
            <v>0</v>
          </cell>
          <cell r="H24">
            <v>0</v>
          </cell>
          <cell r="I24">
            <v>0</v>
          </cell>
          <cell r="J24">
            <v>2705569</v>
          </cell>
        </row>
        <row r="25">
          <cell r="A25" t="str">
            <v>1-1-20-02-004  DAP BCI USD</v>
          </cell>
          <cell r="B25">
            <v>0</v>
          </cell>
          <cell r="C25">
            <v>212235740</v>
          </cell>
          <cell r="D25">
            <v>0</v>
          </cell>
          <cell r="E25">
            <v>212235740</v>
          </cell>
          <cell r="F25">
            <v>0</v>
          </cell>
          <cell r="G25">
            <v>212235740</v>
          </cell>
          <cell r="H25">
            <v>0</v>
          </cell>
          <cell r="I25">
            <v>0</v>
          </cell>
          <cell r="J25">
            <v>-212235740</v>
          </cell>
        </row>
        <row r="26">
          <cell r="A26" t="str">
            <v>1-1-20-04-004  INVERSIONES FI BTG PACTUAL RENTAS EN PESOS</v>
          </cell>
          <cell r="B26">
            <v>0</v>
          </cell>
          <cell r="C26">
            <v>5920454</v>
          </cell>
          <cell r="D26">
            <v>0</v>
          </cell>
          <cell r="E26">
            <v>5920454</v>
          </cell>
          <cell r="F26">
            <v>0</v>
          </cell>
          <cell r="G26">
            <v>5920454</v>
          </cell>
          <cell r="H26">
            <v>0</v>
          </cell>
          <cell r="I26">
            <v>0</v>
          </cell>
          <cell r="J26">
            <v>-5920454</v>
          </cell>
        </row>
        <row r="27">
          <cell r="A27" t="str">
            <v>1-1-20-04-005  INVERSIONES BTG FONDO MINING EN DOLARES</v>
          </cell>
          <cell r="B27">
            <v>0</v>
          </cell>
          <cell r="C27">
            <v>12</v>
          </cell>
          <cell r="D27">
            <v>0</v>
          </cell>
          <cell r="E27">
            <v>12</v>
          </cell>
          <cell r="F27">
            <v>0</v>
          </cell>
          <cell r="G27">
            <v>12</v>
          </cell>
          <cell r="H27">
            <v>0</v>
          </cell>
          <cell r="I27">
            <v>0</v>
          </cell>
          <cell r="J27">
            <v>-12</v>
          </cell>
        </row>
        <row r="28">
          <cell r="A28" t="str">
            <v>1-1-20-04-006  BANCHILE CORREDORES DE BOLSA DOLARES</v>
          </cell>
          <cell r="B28">
            <v>0</v>
          </cell>
          <cell r="C28">
            <v>29635</v>
          </cell>
          <cell r="D28">
            <v>0</v>
          </cell>
          <cell r="E28">
            <v>29635</v>
          </cell>
          <cell r="F28">
            <v>0</v>
          </cell>
          <cell r="G28">
            <v>29635</v>
          </cell>
          <cell r="H28">
            <v>0</v>
          </cell>
          <cell r="I28">
            <v>0</v>
          </cell>
          <cell r="J28">
            <v>-29635</v>
          </cell>
        </row>
        <row r="29">
          <cell r="A29" t="str">
            <v>1-1-20-04-009  ACCIONES BCI CORREDOR BOLSA</v>
          </cell>
          <cell r="B29">
            <v>0</v>
          </cell>
          <cell r="C29">
            <v>1350713</v>
          </cell>
          <cell r="D29">
            <v>0</v>
          </cell>
          <cell r="E29">
            <v>1350713</v>
          </cell>
          <cell r="F29">
            <v>0</v>
          </cell>
          <cell r="G29">
            <v>1350713</v>
          </cell>
          <cell r="H29">
            <v>0</v>
          </cell>
          <cell r="I29">
            <v>0</v>
          </cell>
          <cell r="J29">
            <v>-1350713</v>
          </cell>
        </row>
        <row r="30">
          <cell r="A30" t="str">
            <v>1-1-20-04-010  INVERSION  NEO-RENTAS ADM.</v>
          </cell>
          <cell r="B30">
            <v>26062996</v>
          </cell>
          <cell r="C30">
            <v>0</v>
          </cell>
          <cell r="D30">
            <v>26062996</v>
          </cell>
          <cell r="E30">
            <v>0</v>
          </cell>
          <cell r="F30">
            <v>26062996</v>
          </cell>
          <cell r="G30">
            <v>0</v>
          </cell>
          <cell r="H30">
            <v>0</v>
          </cell>
          <cell r="I30">
            <v>0</v>
          </cell>
          <cell r="J30">
            <v>26062996</v>
          </cell>
        </row>
        <row r="31">
          <cell r="A31" t="str">
            <v>1-1-20-04-013  FONDO MUTUO BTG MONEY MARKET PESOS</v>
          </cell>
          <cell r="B31">
            <v>40</v>
          </cell>
          <cell r="C31">
            <v>0</v>
          </cell>
          <cell r="D31">
            <v>40</v>
          </cell>
          <cell r="E31">
            <v>0</v>
          </cell>
          <cell r="F31">
            <v>40</v>
          </cell>
          <cell r="G31">
            <v>0</v>
          </cell>
          <cell r="H31">
            <v>0</v>
          </cell>
          <cell r="I31">
            <v>0</v>
          </cell>
          <cell r="J31">
            <v>40</v>
          </cell>
        </row>
        <row r="32">
          <cell r="A32" t="str">
            <v>1-1-30-01-005  CLIENTES 2</v>
          </cell>
          <cell r="B32">
            <v>1329477573</v>
          </cell>
          <cell r="C32">
            <v>1370841169</v>
          </cell>
          <cell r="D32">
            <v>0</v>
          </cell>
          <cell r="E32">
            <v>41363596</v>
          </cell>
          <cell r="F32">
            <v>0</v>
          </cell>
          <cell r="G32">
            <v>41363596</v>
          </cell>
          <cell r="H32">
            <v>0</v>
          </cell>
          <cell r="I32">
            <v>0</v>
          </cell>
          <cell r="J32">
            <v>-41363596</v>
          </cell>
        </row>
        <row r="33">
          <cell r="A33" t="str">
            <v>1-1-40-01-002  ANTICIPO SUELDO</v>
          </cell>
          <cell r="B33">
            <v>6830000</v>
          </cell>
          <cell r="C33">
            <v>6830000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1-1-40-01-010  CTA X COBRAR INV.PRIME CAPITAL INTERNACIONAL (EX SEGOVIA SA)</v>
          </cell>
          <cell r="B34">
            <v>0</v>
          </cell>
          <cell r="C34">
            <v>22344817</v>
          </cell>
          <cell r="D34">
            <v>0</v>
          </cell>
          <cell r="E34">
            <v>22344817</v>
          </cell>
          <cell r="F34">
            <v>0</v>
          </cell>
          <cell r="G34">
            <v>22344817</v>
          </cell>
          <cell r="H34">
            <v>0</v>
          </cell>
          <cell r="I34">
            <v>0</v>
          </cell>
          <cell r="J34">
            <v>-22344817</v>
          </cell>
        </row>
        <row r="35">
          <cell r="A35" t="str">
            <v>1-1-40-01-013  ANTICIPO PROVEEDORES 2</v>
          </cell>
          <cell r="B35">
            <v>10566</v>
          </cell>
          <cell r="C35">
            <v>4904625</v>
          </cell>
          <cell r="D35">
            <v>0</v>
          </cell>
          <cell r="E35">
            <v>4894059</v>
          </cell>
          <cell r="F35">
            <v>0</v>
          </cell>
          <cell r="G35">
            <v>4894059</v>
          </cell>
          <cell r="H35">
            <v>0</v>
          </cell>
          <cell r="I35">
            <v>0</v>
          </cell>
          <cell r="J35">
            <v>-4894059</v>
          </cell>
        </row>
        <row r="36">
          <cell r="A36" t="str">
            <v>1-1-40-01-016  PRESTAMOS A OPERADORES</v>
          </cell>
          <cell r="B36">
            <v>0</v>
          </cell>
          <cell r="C36">
            <v>1000000</v>
          </cell>
          <cell r="D36">
            <v>0</v>
          </cell>
          <cell r="E36">
            <v>1000000</v>
          </cell>
          <cell r="F36">
            <v>0</v>
          </cell>
          <cell r="G36">
            <v>1000000</v>
          </cell>
          <cell r="H36">
            <v>0</v>
          </cell>
          <cell r="I36">
            <v>0</v>
          </cell>
          <cell r="J36">
            <v>-1000000</v>
          </cell>
        </row>
        <row r="37">
          <cell r="A37" t="str">
            <v>1-1-40-01-017  ANTICIPO PROVEEDOR 3</v>
          </cell>
          <cell r="B37">
            <v>64201474</v>
          </cell>
          <cell r="C37">
            <v>63189296</v>
          </cell>
          <cell r="D37">
            <v>1012178</v>
          </cell>
          <cell r="E37">
            <v>0</v>
          </cell>
          <cell r="F37">
            <v>1012178</v>
          </cell>
          <cell r="G37">
            <v>0</v>
          </cell>
          <cell r="H37">
            <v>0</v>
          </cell>
          <cell r="I37">
            <v>0</v>
          </cell>
          <cell r="J37">
            <v>1012178</v>
          </cell>
        </row>
        <row r="38">
          <cell r="A38" t="str">
            <v>1-1-50-01-005  PAGARE POR COBRAR DOLE</v>
          </cell>
          <cell r="B38">
            <v>0</v>
          </cell>
          <cell r="C38">
            <v>4733950</v>
          </cell>
          <cell r="D38">
            <v>0</v>
          </cell>
          <cell r="E38">
            <v>4733950</v>
          </cell>
          <cell r="F38">
            <v>0</v>
          </cell>
          <cell r="G38">
            <v>4733950</v>
          </cell>
          <cell r="H38">
            <v>0</v>
          </cell>
          <cell r="I38">
            <v>0</v>
          </cell>
          <cell r="J38">
            <v>-4733950</v>
          </cell>
        </row>
        <row r="39">
          <cell r="A39" t="str">
            <v>1-1-50-01-008  CUENTA POR COBRAR INMOB VALDEPEÑAS SPA</v>
          </cell>
          <cell r="B39">
            <v>181342327</v>
          </cell>
          <cell r="C39">
            <v>0</v>
          </cell>
          <cell r="D39">
            <v>181342327</v>
          </cell>
          <cell r="E39">
            <v>0</v>
          </cell>
          <cell r="F39">
            <v>181342327</v>
          </cell>
          <cell r="G39">
            <v>0</v>
          </cell>
          <cell r="H39">
            <v>0</v>
          </cell>
          <cell r="I39">
            <v>0</v>
          </cell>
          <cell r="J39">
            <v>181342327</v>
          </cell>
        </row>
        <row r="40">
          <cell r="A40" t="str">
            <v>1-1-70-01-001  IVA CREDITO FISCAL</v>
          </cell>
          <cell r="B40">
            <v>156273008</v>
          </cell>
          <cell r="C40">
            <v>156273007</v>
          </cell>
          <cell r="D40">
            <v>1</v>
          </cell>
          <cell r="E40">
            <v>0</v>
          </cell>
          <cell r="F40">
            <v>1</v>
          </cell>
          <cell r="G40">
            <v>0</v>
          </cell>
          <cell r="H40">
            <v>0</v>
          </cell>
          <cell r="I40">
            <v>0</v>
          </cell>
          <cell r="J40">
            <v>1</v>
          </cell>
        </row>
        <row r="41">
          <cell r="A41" t="str">
            <v>1-1-70-01-020  REMANENTE CR FISCAL</v>
          </cell>
          <cell r="B41">
            <v>1307538</v>
          </cell>
          <cell r="C41">
            <v>19809615</v>
          </cell>
          <cell r="D41">
            <v>0</v>
          </cell>
          <cell r="E41">
            <v>18502077</v>
          </cell>
          <cell r="F41">
            <v>0</v>
          </cell>
          <cell r="G41">
            <v>18502077</v>
          </cell>
          <cell r="H41">
            <v>0</v>
          </cell>
          <cell r="I41">
            <v>0</v>
          </cell>
          <cell r="J41">
            <v>-18502077</v>
          </cell>
        </row>
        <row r="42">
          <cell r="A42" t="str">
            <v>1-2-01-04-002  BIENES RAICES</v>
          </cell>
          <cell r="B42">
            <v>60000000</v>
          </cell>
          <cell r="C42">
            <v>0</v>
          </cell>
          <cell r="D42">
            <v>60000000</v>
          </cell>
          <cell r="E42">
            <v>0</v>
          </cell>
          <cell r="F42">
            <v>60000000</v>
          </cell>
          <cell r="G42">
            <v>0</v>
          </cell>
          <cell r="H42">
            <v>0</v>
          </cell>
          <cell r="I42">
            <v>0</v>
          </cell>
          <cell r="J42">
            <v>60000000</v>
          </cell>
        </row>
        <row r="43">
          <cell r="A43" t="str">
            <v>2-1-01-01-009  PRESTAMO  BCO INTERNACIONAL CP M$600</v>
          </cell>
          <cell r="B43">
            <v>26308324</v>
          </cell>
          <cell r="C43">
            <v>0</v>
          </cell>
          <cell r="D43">
            <v>26308324</v>
          </cell>
          <cell r="E43">
            <v>0</v>
          </cell>
          <cell r="F43">
            <v>26308324</v>
          </cell>
          <cell r="G43">
            <v>0</v>
          </cell>
          <cell r="H43">
            <v>0</v>
          </cell>
          <cell r="I43">
            <v>0</v>
          </cell>
          <cell r="J43">
            <v>-26308324</v>
          </cell>
        </row>
        <row r="44">
          <cell r="A44" t="str">
            <v>2-1-01-01-010  USO LINEA CRÉDITO BANCO SANTANDER</v>
          </cell>
          <cell r="B44">
            <v>456001494</v>
          </cell>
          <cell r="C44">
            <v>621503006</v>
          </cell>
          <cell r="D44">
            <v>0</v>
          </cell>
          <cell r="E44">
            <v>165501512</v>
          </cell>
          <cell r="F44">
            <v>0</v>
          </cell>
          <cell r="G44">
            <v>165501512</v>
          </cell>
          <cell r="H44">
            <v>0</v>
          </cell>
          <cell r="I44">
            <v>0</v>
          </cell>
          <cell r="J44">
            <v>165501512</v>
          </cell>
        </row>
        <row r="45">
          <cell r="A45" t="str">
            <v>2-1-01-01-011  USO LINEA CREDITO BANCO BCI</v>
          </cell>
          <cell r="B45">
            <v>22081824</v>
          </cell>
          <cell r="C45">
            <v>22033979</v>
          </cell>
          <cell r="D45">
            <v>47845</v>
          </cell>
          <cell r="E45">
            <v>0</v>
          </cell>
          <cell r="F45">
            <v>47845</v>
          </cell>
          <cell r="G45">
            <v>0</v>
          </cell>
          <cell r="H45">
            <v>0</v>
          </cell>
          <cell r="I45">
            <v>0</v>
          </cell>
          <cell r="J45">
            <v>-47845</v>
          </cell>
        </row>
        <row r="46">
          <cell r="A46" t="str">
            <v>2-1-01-02-001  OBLIG. LEASING 1 SUR 1990 C/PLAZO</v>
          </cell>
          <cell r="B46">
            <v>7767603</v>
          </cell>
          <cell r="C46">
            <v>0</v>
          </cell>
          <cell r="D46">
            <v>7767603</v>
          </cell>
          <cell r="E46">
            <v>0</v>
          </cell>
          <cell r="F46">
            <v>7767603</v>
          </cell>
          <cell r="G46">
            <v>0</v>
          </cell>
          <cell r="H46">
            <v>0</v>
          </cell>
          <cell r="I46">
            <v>0</v>
          </cell>
          <cell r="J46">
            <v>-7767603</v>
          </cell>
        </row>
        <row r="47">
          <cell r="A47" t="str">
            <v>2-1-01-02-002  OBLIG. LEASING SAN JAVIER C/PLAZO</v>
          </cell>
          <cell r="B47">
            <v>6678861</v>
          </cell>
          <cell r="C47">
            <v>0</v>
          </cell>
          <cell r="D47">
            <v>6678861</v>
          </cell>
          <cell r="E47">
            <v>0</v>
          </cell>
          <cell r="F47">
            <v>6678861</v>
          </cell>
          <cell r="G47">
            <v>0</v>
          </cell>
          <cell r="H47">
            <v>0</v>
          </cell>
          <cell r="I47">
            <v>0</v>
          </cell>
          <cell r="J47">
            <v>-6678861</v>
          </cell>
        </row>
        <row r="48">
          <cell r="A48" t="str">
            <v>2-1-01-02-003  OBLIG. LEASING COLIN 0240 TALCA</v>
          </cell>
          <cell r="B48">
            <v>12570568</v>
          </cell>
          <cell r="C48">
            <v>0</v>
          </cell>
          <cell r="D48">
            <v>12570568</v>
          </cell>
          <cell r="E48">
            <v>0</v>
          </cell>
          <cell r="F48">
            <v>12570568</v>
          </cell>
          <cell r="G48">
            <v>0</v>
          </cell>
          <cell r="H48">
            <v>0</v>
          </cell>
          <cell r="I48">
            <v>0</v>
          </cell>
          <cell r="J48">
            <v>-12570568</v>
          </cell>
        </row>
        <row r="49">
          <cell r="A49" t="str">
            <v>2-1-01-02-004  OBLIG. LEASING C. SATELITE C/PLAZO</v>
          </cell>
          <cell r="B49">
            <v>18480973</v>
          </cell>
          <cell r="C49">
            <v>0</v>
          </cell>
          <cell r="D49">
            <v>18480973</v>
          </cell>
          <cell r="E49">
            <v>0</v>
          </cell>
          <cell r="F49">
            <v>18480973</v>
          </cell>
          <cell r="G49">
            <v>0</v>
          </cell>
          <cell r="H49">
            <v>0</v>
          </cell>
          <cell r="I49">
            <v>0</v>
          </cell>
          <cell r="J49">
            <v>-18480973</v>
          </cell>
        </row>
        <row r="50">
          <cell r="A50" t="str">
            <v>2-1-01-02-005  OBLIG. LEASING 11 ORIENTE C/PLAZO</v>
          </cell>
          <cell r="B50">
            <v>6611844</v>
          </cell>
          <cell r="C50">
            <v>0</v>
          </cell>
          <cell r="D50">
            <v>6611844</v>
          </cell>
          <cell r="E50">
            <v>0</v>
          </cell>
          <cell r="F50">
            <v>6611844</v>
          </cell>
          <cell r="G50">
            <v>0</v>
          </cell>
          <cell r="H50">
            <v>0</v>
          </cell>
          <cell r="I50">
            <v>0</v>
          </cell>
          <cell r="J50">
            <v>-6611844</v>
          </cell>
        </row>
        <row r="51">
          <cell r="A51" t="str">
            <v>2-1-01-02-006  OBLIG. LEASING MAIPU 556 C/PLAZO</v>
          </cell>
          <cell r="B51">
            <v>5851687</v>
          </cell>
          <cell r="C51">
            <v>0</v>
          </cell>
          <cell r="D51">
            <v>5851687</v>
          </cell>
          <cell r="E51">
            <v>0</v>
          </cell>
          <cell r="F51">
            <v>5851687</v>
          </cell>
          <cell r="G51">
            <v>0</v>
          </cell>
          <cell r="H51">
            <v>0</v>
          </cell>
          <cell r="I51">
            <v>0</v>
          </cell>
          <cell r="J51">
            <v>-5851687</v>
          </cell>
        </row>
        <row r="52">
          <cell r="A52" t="str">
            <v>2-1-01-02-007  OBLIG. LEASING BRASIL 648 C/PLAZO</v>
          </cell>
          <cell r="B52">
            <v>4486294</v>
          </cell>
          <cell r="C52">
            <v>0</v>
          </cell>
          <cell r="D52">
            <v>4486294</v>
          </cell>
          <cell r="E52">
            <v>0</v>
          </cell>
          <cell r="F52">
            <v>4486294</v>
          </cell>
          <cell r="G52">
            <v>0</v>
          </cell>
          <cell r="H52">
            <v>0</v>
          </cell>
          <cell r="I52">
            <v>0</v>
          </cell>
          <cell r="J52">
            <v>-4486294</v>
          </cell>
        </row>
        <row r="53">
          <cell r="A53" t="str">
            <v>2-1-01-02-008  OBLIG. LEASING VIAL 224 C/PLAZO</v>
          </cell>
          <cell r="B53">
            <v>5364047</v>
          </cell>
          <cell r="C53">
            <v>0</v>
          </cell>
          <cell r="D53">
            <v>5364047</v>
          </cell>
          <cell r="E53">
            <v>0</v>
          </cell>
          <cell r="F53">
            <v>5364047</v>
          </cell>
          <cell r="G53">
            <v>0</v>
          </cell>
          <cell r="H53">
            <v>0</v>
          </cell>
          <cell r="I53">
            <v>0</v>
          </cell>
          <cell r="J53">
            <v>-5364047</v>
          </cell>
        </row>
        <row r="54">
          <cell r="A54" t="str">
            <v>2-1-01-02-009  OBLIG. LEASING TALCA COLIN C/PLAZO</v>
          </cell>
          <cell r="B54">
            <v>48533762</v>
          </cell>
          <cell r="C54">
            <v>0</v>
          </cell>
          <cell r="D54">
            <v>48533762</v>
          </cell>
          <cell r="E54">
            <v>0</v>
          </cell>
          <cell r="F54">
            <v>48533762</v>
          </cell>
          <cell r="G54">
            <v>0</v>
          </cell>
          <cell r="H54">
            <v>0</v>
          </cell>
          <cell r="I54">
            <v>0</v>
          </cell>
          <cell r="J54">
            <v>-48533762</v>
          </cell>
        </row>
        <row r="55">
          <cell r="A55" t="str">
            <v>2-1-01-02-010  OBLIG. HIPOTECARIO C/PLAZO</v>
          </cell>
          <cell r="B55">
            <v>14615658</v>
          </cell>
          <cell r="C55">
            <v>0</v>
          </cell>
          <cell r="D55">
            <v>14615658</v>
          </cell>
          <cell r="E55">
            <v>0</v>
          </cell>
          <cell r="F55">
            <v>14615658</v>
          </cell>
          <cell r="G55">
            <v>0</v>
          </cell>
          <cell r="H55">
            <v>0</v>
          </cell>
          <cell r="I55">
            <v>0</v>
          </cell>
          <cell r="J55">
            <v>-14615658</v>
          </cell>
        </row>
        <row r="56">
          <cell r="A56" t="str">
            <v>2-1-01-02-011  OBLIG.LEASING VALPO  C/P</v>
          </cell>
          <cell r="B56">
            <v>23928972</v>
          </cell>
          <cell r="C56">
            <v>0</v>
          </cell>
          <cell r="D56">
            <v>23928972</v>
          </cell>
          <cell r="E56">
            <v>0</v>
          </cell>
          <cell r="F56">
            <v>23928972</v>
          </cell>
          <cell r="G56">
            <v>0</v>
          </cell>
          <cell r="H56">
            <v>0</v>
          </cell>
          <cell r="I56">
            <v>0</v>
          </cell>
          <cell r="J56">
            <v>-23928972</v>
          </cell>
        </row>
        <row r="57">
          <cell r="A57" t="str">
            <v>2-1-01-02-012  OBLIG.LEASING CAUQUENES C/P</v>
          </cell>
          <cell r="B57">
            <v>8954474</v>
          </cell>
          <cell r="C57">
            <v>0</v>
          </cell>
          <cell r="D57">
            <v>8954474</v>
          </cell>
          <cell r="E57">
            <v>0</v>
          </cell>
          <cell r="F57">
            <v>8954474</v>
          </cell>
          <cell r="G57">
            <v>0</v>
          </cell>
          <cell r="H57">
            <v>0</v>
          </cell>
          <cell r="I57">
            <v>0</v>
          </cell>
          <cell r="J57">
            <v>-8954474</v>
          </cell>
        </row>
        <row r="58">
          <cell r="A58" t="str">
            <v>2-1-01-02-013  OBLIG. LEASING OUTLET C/P</v>
          </cell>
          <cell r="B58">
            <v>66011789</v>
          </cell>
          <cell r="C58">
            <v>0</v>
          </cell>
          <cell r="D58">
            <v>66011789</v>
          </cell>
          <cell r="E58">
            <v>0</v>
          </cell>
          <cell r="F58">
            <v>66011789</v>
          </cell>
          <cell r="G58">
            <v>0</v>
          </cell>
          <cell r="H58">
            <v>0</v>
          </cell>
          <cell r="I58">
            <v>0</v>
          </cell>
          <cell r="J58">
            <v>-66011789</v>
          </cell>
        </row>
        <row r="59">
          <cell r="A59" t="str">
            <v>2-1-01-02-014  OBLIG HIPOTECARIO LOS MORRO CP</v>
          </cell>
          <cell r="B59">
            <v>34335196</v>
          </cell>
          <cell r="C59">
            <v>0</v>
          </cell>
          <cell r="D59">
            <v>34335196</v>
          </cell>
          <cell r="E59">
            <v>0</v>
          </cell>
          <cell r="F59">
            <v>34335196</v>
          </cell>
          <cell r="G59">
            <v>0</v>
          </cell>
          <cell r="H59">
            <v>0</v>
          </cell>
          <cell r="I59">
            <v>0</v>
          </cell>
          <cell r="J59">
            <v>-34335196</v>
          </cell>
        </row>
        <row r="60">
          <cell r="A60" t="str">
            <v>2-1-01-03-002  OBLIG LEASING VEHICULOS  CP 2</v>
          </cell>
          <cell r="B60">
            <v>3482867</v>
          </cell>
          <cell r="C60">
            <v>0</v>
          </cell>
          <cell r="D60">
            <v>3482867</v>
          </cell>
          <cell r="E60">
            <v>0</v>
          </cell>
          <cell r="F60">
            <v>3482867</v>
          </cell>
          <cell r="G60">
            <v>0</v>
          </cell>
          <cell r="H60">
            <v>0</v>
          </cell>
          <cell r="I60">
            <v>0</v>
          </cell>
          <cell r="J60">
            <v>-3482867</v>
          </cell>
        </row>
        <row r="61">
          <cell r="A61" t="str">
            <v>2-1-02-01-005  MUTUOS POR PAGAR</v>
          </cell>
          <cell r="B61">
            <v>83423344</v>
          </cell>
          <cell r="C61">
            <v>0</v>
          </cell>
          <cell r="D61">
            <v>83423344</v>
          </cell>
          <cell r="E61">
            <v>0</v>
          </cell>
          <cell r="F61">
            <v>83423344</v>
          </cell>
          <cell r="G61">
            <v>0</v>
          </cell>
          <cell r="H61">
            <v>0</v>
          </cell>
          <cell r="I61">
            <v>0</v>
          </cell>
          <cell r="J61">
            <v>-83423344</v>
          </cell>
        </row>
        <row r="62">
          <cell r="A62" t="str">
            <v>2-1-02-01-008  REMUNERACIONES POR PAGAR (2)</v>
          </cell>
          <cell r="B62">
            <v>75502066</v>
          </cell>
          <cell r="C62">
            <v>75502066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A63" t="str">
            <v>2-1-03-01-001  GARANTIAS RECIBIDAS ARRENDATARIOS (CLP)</v>
          </cell>
          <cell r="B63">
            <v>333552</v>
          </cell>
          <cell r="C63">
            <v>0</v>
          </cell>
          <cell r="D63">
            <v>333552</v>
          </cell>
          <cell r="E63">
            <v>0</v>
          </cell>
          <cell r="F63">
            <v>333552</v>
          </cell>
          <cell r="G63">
            <v>0</v>
          </cell>
          <cell r="H63">
            <v>0</v>
          </cell>
          <cell r="I63">
            <v>0</v>
          </cell>
          <cell r="J63">
            <v>-333552</v>
          </cell>
        </row>
        <row r="64">
          <cell r="A64" t="str">
            <v>2-1-03-01-002  GARANTIAS RECIBIDAS ARRENDATARIOS (UF)</v>
          </cell>
          <cell r="B64">
            <v>0</v>
          </cell>
          <cell r="C64">
            <v>1000000</v>
          </cell>
          <cell r="D64">
            <v>0</v>
          </cell>
          <cell r="E64">
            <v>1000000</v>
          </cell>
          <cell r="F64">
            <v>0</v>
          </cell>
          <cell r="G64">
            <v>1000000</v>
          </cell>
          <cell r="H64">
            <v>0</v>
          </cell>
          <cell r="I64">
            <v>0</v>
          </cell>
          <cell r="J64">
            <v>1000000</v>
          </cell>
        </row>
        <row r="65">
          <cell r="A65" t="str">
            <v>2-1-03-01-008  CTA X PAGAR ISF DOLAR</v>
          </cell>
          <cell r="B65">
            <v>0</v>
          </cell>
          <cell r="C65">
            <v>15972990</v>
          </cell>
          <cell r="D65">
            <v>0</v>
          </cell>
          <cell r="E65">
            <v>15972990</v>
          </cell>
          <cell r="F65">
            <v>0</v>
          </cell>
          <cell r="G65">
            <v>15972990</v>
          </cell>
          <cell r="H65">
            <v>0</v>
          </cell>
          <cell r="I65">
            <v>0</v>
          </cell>
          <cell r="J65">
            <v>15972990</v>
          </cell>
        </row>
        <row r="66">
          <cell r="A66" t="str">
            <v>2-1-03-02-001  ANTICIPO DE CLIENTES</v>
          </cell>
          <cell r="B66">
            <v>14440863</v>
          </cell>
          <cell r="C66">
            <v>17627091</v>
          </cell>
          <cell r="D66">
            <v>0</v>
          </cell>
          <cell r="E66">
            <v>3186228</v>
          </cell>
          <cell r="F66">
            <v>0</v>
          </cell>
          <cell r="G66">
            <v>3186228</v>
          </cell>
          <cell r="H66">
            <v>0</v>
          </cell>
          <cell r="I66">
            <v>0</v>
          </cell>
          <cell r="J66">
            <v>3186228</v>
          </cell>
        </row>
        <row r="67">
          <cell r="A67" t="str">
            <v>2-1-04-01-001  IVA DEBITO FISCAL</v>
          </cell>
          <cell r="B67">
            <v>160896490</v>
          </cell>
          <cell r="C67">
            <v>160896490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2-1-04-01-002  IMPUESTO UNICO</v>
          </cell>
          <cell r="B68">
            <v>24089102</v>
          </cell>
          <cell r="C68">
            <v>24011158</v>
          </cell>
          <cell r="D68">
            <v>77944</v>
          </cell>
          <cell r="E68">
            <v>0</v>
          </cell>
          <cell r="F68">
            <v>77944</v>
          </cell>
          <cell r="G68">
            <v>0</v>
          </cell>
          <cell r="H68">
            <v>0</v>
          </cell>
          <cell r="I68">
            <v>0</v>
          </cell>
          <cell r="J68">
            <v>-77944</v>
          </cell>
        </row>
        <row r="69">
          <cell r="A69" t="str">
            <v>2-1-04-01-003  IMPUESTO 2° CATEGORIA</v>
          </cell>
          <cell r="B69">
            <v>1471547</v>
          </cell>
          <cell r="C69">
            <v>2278401</v>
          </cell>
          <cell r="D69">
            <v>0</v>
          </cell>
          <cell r="E69">
            <v>806854</v>
          </cell>
          <cell r="F69">
            <v>0</v>
          </cell>
          <cell r="G69">
            <v>806854</v>
          </cell>
          <cell r="H69">
            <v>0</v>
          </cell>
          <cell r="I69">
            <v>0</v>
          </cell>
          <cell r="J69">
            <v>806854</v>
          </cell>
        </row>
        <row r="70">
          <cell r="A70" t="str">
            <v>2-1-04-01-005  IMPOSICIONES POR PAGAR</v>
          </cell>
          <cell r="B70">
            <v>10025202</v>
          </cell>
          <cell r="C70">
            <v>10054832</v>
          </cell>
          <cell r="D70">
            <v>0</v>
          </cell>
          <cell r="E70">
            <v>29630</v>
          </cell>
          <cell r="F70">
            <v>0</v>
          </cell>
          <cell r="G70">
            <v>29630</v>
          </cell>
          <cell r="H70">
            <v>0</v>
          </cell>
          <cell r="I70">
            <v>0</v>
          </cell>
          <cell r="J70">
            <v>29630</v>
          </cell>
        </row>
        <row r="71">
          <cell r="A71" t="str">
            <v>2-1-06-01-001  PROVEEDORES 2</v>
          </cell>
          <cell r="B71">
            <v>1380442279</v>
          </cell>
          <cell r="C71">
            <v>1595729913</v>
          </cell>
          <cell r="D71">
            <v>0</v>
          </cell>
          <cell r="E71">
            <v>215287634</v>
          </cell>
          <cell r="F71">
            <v>0</v>
          </cell>
          <cell r="G71">
            <v>215287634</v>
          </cell>
          <cell r="H71">
            <v>0</v>
          </cell>
          <cell r="I71">
            <v>0</v>
          </cell>
          <cell r="J71">
            <v>215287634</v>
          </cell>
        </row>
        <row r="72">
          <cell r="A72" t="str">
            <v>2-1-06-01-002  HONORARIOS POR PAGAR 2</v>
          </cell>
          <cell r="B72">
            <v>19687288</v>
          </cell>
          <cell r="C72">
            <v>15762198</v>
          </cell>
          <cell r="D72">
            <v>3925090</v>
          </cell>
          <cell r="E72">
            <v>0</v>
          </cell>
          <cell r="F72">
            <v>3925090</v>
          </cell>
          <cell r="G72">
            <v>0</v>
          </cell>
          <cell r="H72">
            <v>0</v>
          </cell>
          <cell r="I72">
            <v>0</v>
          </cell>
          <cell r="J72">
            <v>-3925090</v>
          </cell>
        </row>
        <row r="73">
          <cell r="A73" t="str">
            <v>2-1-06-01-006  CHEQUES GIRADOS POR PAGAR 2</v>
          </cell>
          <cell r="B73">
            <v>56674311</v>
          </cell>
          <cell r="C73">
            <v>0</v>
          </cell>
          <cell r="D73">
            <v>56674311</v>
          </cell>
          <cell r="E73">
            <v>0</v>
          </cell>
          <cell r="F73">
            <v>56674311</v>
          </cell>
          <cell r="G73">
            <v>0</v>
          </cell>
          <cell r="H73">
            <v>0</v>
          </cell>
          <cell r="I73">
            <v>0</v>
          </cell>
          <cell r="J73">
            <v>-56674311</v>
          </cell>
        </row>
        <row r="74">
          <cell r="A74" t="str">
            <v>2-1-06-01-007  SEGURO SALUD COMPLEMENTARIO</v>
          </cell>
          <cell r="B74">
            <v>291707</v>
          </cell>
          <cell r="C74">
            <v>291707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4-1-01-01-001  ARRIENDO FIJO</v>
          </cell>
          <cell r="B75">
            <v>0</v>
          </cell>
          <cell r="C75">
            <v>809857525</v>
          </cell>
          <cell r="D75">
            <v>0</v>
          </cell>
          <cell r="E75">
            <v>809857525</v>
          </cell>
          <cell r="F75">
            <v>0</v>
          </cell>
          <cell r="G75">
            <v>0</v>
          </cell>
          <cell r="H75">
            <v>0</v>
          </cell>
          <cell r="I75">
            <v>809857525</v>
          </cell>
          <cell r="J75">
            <v>809857525</v>
          </cell>
        </row>
        <row r="76">
          <cell r="A76" t="str">
            <v>4-1-01-01-002  ARRIENDO VARIABLE</v>
          </cell>
          <cell r="B76">
            <v>181682</v>
          </cell>
          <cell r="C76">
            <v>121405487</v>
          </cell>
          <cell r="D76">
            <v>0</v>
          </cell>
          <cell r="E76">
            <v>121223805</v>
          </cell>
          <cell r="F76">
            <v>0</v>
          </cell>
          <cell r="G76">
            <v>0</v>
          </cell>
          <cell r="H76">
            <v>0</v>
          </cell>
          <cell r="I76">
            <v>121223805</v>
          </cell>
          <cell r="J76">
            <v>121223805</v>
          </cell>
        </row>
        <row r="77">
          <cell r="A77" t="str">
            <v>4-1-01-01-005  CONSUMOS DE AGUAS</v>
          </cell>
          <cell r="B77">
            <v>394890</v>
          </cell>
          <cell r="C77">
            <v>7817073</v>
          </cell>
          <cell r="D77">
            <v>0</v>
          </cell>
          <cell r="E77">
            <v>7422183</v>
          </cell>
          <cell r="F77">
            <v>0</v>
          </cell>
          <cell r="G77">
            <v>0</v>
          </cell>
          <cell r="H77">
            <v>0</v>
          </cell>
          <cell r="I77">
            <v>7422183</v>
          </cell>
          <cell r="J77">
            <v>7422183</v>
          </cell>
        </row>
        <row r="78">
          <cell r="A78" t="str">
            <v>4-1-01-01-006  CONSUMOS DE LUZ</v>
          </cell>
          <cell r="B78">
            <v>0</v>
          </cell>
          <cell r="C78">
            <v>115927985</v>
          </cell>
          <cell r="D78">
            <v>0</v>
          </cell>
          <cell r="E78">
            <v>115927985</v>
          </cell>
          <cell r="F78">
            <v>0</v>
          </cell>
          <cell r="G78">
            <v>0</v>
          </cell>
          <cell r="H78">
            <v>0</v>
          </cell>
          <cell r="I78">
            <v>115927985</v>
          </cell>
          <cell r="J78">
            <v>115927985</v>
          </cell>
        </row>
        <row r="79">
          <cell r="A79" t="str">
            <v>4-1-01-01-007  CONSUMOS DE GAS</v>
          </cell>
          <cell r="B79">
            <v>0</v>
          </cell>
          <cell r="C79">
            <v>2499503</v>
          </cell>
          <cell r="D79">
            <v>0</v>
          </cell>
          <cell r="E79">
            <v>2499503</v>
          </cell>
          <cell r="F79">
            <v>0</v>
          </cell>
          <cell r="G79">
            <v>0</v>
          </cell>
          <cell r="H79">
            <v>0</v>
          </cell>
          <cell r="I79">
            <v>2499503</v>
          </cell>
          <cell r="J79">
            <v>2499503</v>
          </cell>
        </row>
        <row r="80">
          <cell r="A80" t="str">
            <v>4-1-01-01-008  GASTOS COMUNES</v>
          </cell>
          <cell r="B80">
            <v>0</v>
          </cell>
          <cell r="C80">
            <v>80456044</v>
          </cell>
          <cell r="D80">
            <v>0</v>
          </cell>
          <cell r="E80">
            <v>80456044</v>
          </cell>
          <cell r="F80">
            <v>0</v>
          </cell>
          <cell r="G80">
            <v>0</v>
          </cell>
          <cell r="H80">
            <v>0</v>
          </cell>
          <cell r="I80">
            <v>80456044</v>
          </cell>
          <cell r="J80">
            <v>80456044</v>
          </cell>
        </row>
        <row r="81">
          <cell r="A81" t="str">
            <v>4-2-01-01-006  INTERESES DAP US$ BCI</v>
          </cell>
          <cell r="B81">
            <v>0</v>
          </cell>
          <cell r="C81">
            <v>598677</v>
          </cell>
          <cell r="D81">
            <v>0</v>
          </cell>
          <cell r="E81">
            <v>598677</v>
          </cell>
          <cell r="F81">
            <v>0</v>
          </cell>
          <cell r="G81">
            <v>0</v>
          </cell>
          <cell r="H81">
            <v>0</v>
          </cell>
          <cell r="I81">
            <v>598677</v>
          </cell>
          <cell r="J81">
            <v>598677</v>
          </cell>
        </row>
        <row r="82">
          <cell r="A82" t="str">
            <v>4-2-01-01-011  DIVIDENDO ASSET SANTANDER</v>
          </cell>
          <cell r="B82">
            <v>0</v>
          </cell>
          <cell r="C82">
            <v>4556890</v>
          </cell>
          <cell r="D82">
            <v>0</v>
          </cell>
          <cell r="E82">
            <v>4556890</v>
          </cell>
          <cell r="F82">
            <v>0</v>
          </cell>
          <cell r="G82">
            <v>0</v>
          </cell>
          <cell r="H82">
            <v>0</v>
          </cell>
          <cell r="I82">
            <v>4556890</v>
          </cell>
          <cell r="J82">
            <v>4556890</v>
          </cell>
        </row>
        <row r="83">
          <cell r="A83" t="str">
            <v>4-2-01-02-008  ARQUITEC Y HABILITACION  LOCALES</v>
          </cell>
          <cell r="B83">
            <v>0</v>
          </cell>
          <cell r="C83">
            <v>1561415</v>
          </cell>
          <cell r="D83">
            <v>0</v>
          </cell>
          <cell r="E83">
            <v>1561415</v>
          </cell>
          <cell r="F83">
            <v>0</v>
          </cell>
          <cell r="G83">
            <v>0</v>
          </cell>
          <cell r="H83">
            <v>0</v>
          </cell>
          <cell r="I83">
            <v>1561415</v>
          </cell>
          <cell r="J83">
            <v>1561415</v>
          </cell>
        </row>
        <row r="84">
          <cell r="A84" t="str">
            <v>5-1-01-01-001  SERVICIOS DE GUARDIAS</v>
          </cell>
          <cell r="B84">
            <v>62941781</v>
          </cell>
          <cell r="C84">
            <v>0</v>
          </cell>
          <cell r="D84">
            <v>62941781</v>
          </cell>
          <cell r="E84">
            <v>0</v>
          </cell>
          <cell r="F84">
            <v>0</v>
          </cell>
          <cell r="G84">
            <v>0</v>
          </cell>
          <cell r="H84">
            <v>62941781</v>
          </cell>
          <cell r="I84">
            <v>0</v>
          </cell>
          <cell r="J84">
            <v>-62941781</v>
          </cell>
        </row>
        <row r="85">
          <cell r="A85" t="str">
            <v>5-1-01-01-005  ARTICULOS DE SEGURIDAD</v>
          </cell>
          <cell r="B85">
            <v>86569</v>
          </cell>
          <cell r="C85">
            <v>0</v>
          </cell>
          <cell r="D85">
            <v>86569</v>
          </cell>
          <cell r="E85">
            <v>0</v>
          </cell>
          <cell r="F85">
            <v>0</v>
          </cell>
          <cell r="G85">
            <v>0</v>
          </cell>
          <cell r="H85">
            <v>86569</v>
          </cell>
          <cell r="I85">
            <v>0</v>
          </cell>
          <cell r="J85">
            <v>-86569</v>
          </cell>
        </row>
        <row r="86">
          <cell r="A86" t="str">
            <v>5-1-01-02-002  INSUMOS BANOS</v>
          </cell>
          <cell r="B86">
            <v>1011268</v>
          </cell>
          <cell r="C86">
            <v>0</v>
          </cell>
          <cell r="D86">
            <v>1011268</v>
          </cell>
          <cell r="E86">
            <v>0</v>
          </cell>
          <cell r="F86">
            <v>0</v>
          </cell>
          <cell r="G86">
            <v>0</v>
          </cell>
          <cell r="H86">
            <v>1011268</v>
          </cell>
          <cell r="I86">
            <v>0</v>
          </cell>
          <cell r="J86">
            <v>-1011268</v>
          </cell>
        </row>
        <row r="87">
          <cell r="A87" t="str">
            <v>5-1-01-03-001  SERVICIOS DE JARDINES Y PAISAJISMO</v>
          </cell>
          <cell r="B87">
            <v>12171697</v>
          </cell>
          <cell r="C87">
            <v>0</v>
          </cell>
          <cell r="D87">
            <v>12171697</v>
          </cell>
          <cell r="E87">
            <v>0</v>
          </cell>
          <cell r="F87">
            <v>0</v>
          </cell>
          <cell r="G87">
            <v>0</v>
          </cell>
          <cell r="H87">
            <v>12171697</v>
          </cell>
          <cell r="I87">
            <v>0</v>
          </cell>
          <cell r="J87">
            <v>-12171697</v>
          </cell>
        </row>
        <row r="88">
          <cell r="A88" t="str">
            <v>5-1-01-03-003  CONTROL DE PLAGAS</v>
          </cell>
          <cell r="B88">
            <v>3009205</v>
          </cell>
          <cell r="C88">
            <v>0</v>
          </cell>
          <cell r="D88">
            <v>3009205</v>
          </cell>
          <cell r="E88">
            <v>0</v>
          </cell>
          <cell r="F88">
            <v>0</v>
          </cell>
          <cell r="G88">
            <v>0</v>
          </cell>
          <cell r="H88">
            <v>3009205</v>
          </cell>
          <cell r="I88">
            <v>0</v>
          </cell>
          <cell r="J88">
            <v>-3009205</v>
          </cell>
        </row>
        <row r="89">
          <cell r="A89" t="str">
            <v>5-1-01-04-001  MANTENCION TRANSPORTE VERTICAL</v>
          </cell>
          <cell r="B89">
            <v>3248237</v>
          </cell>
          <cell r="C89">
            <v>0</v>
          </cell>
          <cell r="D89">
            <v>3248237</v>
          </cell>
          <cell r="E89">
            <v>0</v>
          </cell>
          <cell r="F89">
            <v>0</v>
          </cell>
          <cell r="G89">
            <v>0</v>
          </cell>
          <cell r="H89">
            <v>3248237</v>
          </cell>
          <cell r="I89">
            <v>0</v>
          </cell>
          <cell r="J89">
            <v>-3248237</v>
          </cell>
        </row>
        <row r="90">
          <cell r="A90" t="str">
            <v>5-1-01-04-002  MANTENCION TRANSPORTE VERTICAL CORRECTIVA</v>
          </cell>
          <cell r="B90">
            <v>426272</v>
          </cell>
          <cell r="C90">
            <v>0</v>
          </cell>
          <cell r="D90">
            <v>426272</v>
          </cell>
          <cell r="E90">
            <v>0</v>
          </cell>
          <cell r="F90">
            <v>0</v>
          </cell>
          <cell r="G90">
            <v>0</v>
          </cell>
          <cell r="H90">
            <v>426272</v>
          </cell>
          <cell r="I90">
            <v>0</v>
          </cell>
          <cell r="J90">
            <v>-426272</v>
          </cell>
        </row>
        <row r="91">
          <cell r="A91" t="str">
            <v>5-1-01-04-006  MANTENCION GRUPOS ELECTROGENOS</v>
          </cell>
          <cell r="B91">
            <v>764900</v>
          </cell>
          <cell r="C91">
            <v>0</v>
          </cell>
          <cell r="D91">
            <v>764900</v>
          </cell>
          <cell r="E91">
            <v>0</v>
          </cell>
          <cell r="F91">
            <v>0</v>
          </cell>
          <cell r="G91">
            <v>0</v>
          </cell>
          <cell r="H91">
            <v>764900</v>
          </cell>
          <cell r="I91">
            <v>0</v>
          </cell>
          <cell r="J91">
            <v>-764900</v>
          </cell>
        </row>
        <row r="92">
          <cell r="A92" t="str">
            <v>5-1-01-04-007  MANTENCION CCTV</v>
          </cell>
          <cell r="B92">
            <v>5881081</v>
          </cell>
          <cell r="C92">
            <v>0</v>
          </cell>
          <cell r="D92">
            <v>5881081</v>
          </cell>
          <cell r="E92">
            <v>0</v>
          </cell>
          <cell r="F92">
            <v>0</v>
          </cell>
          <cell r="G92">
            <v>0</v>
          </cell>
          <cell r="H92">
            <v>5881081</v>
          </cell>
          <cell r="I92">
            <v>0</v>
          </cell>
          <cell r="J92">
            <v>-5881081</v>
          </cell>
        </row>
        <row r="93">
          <cell r="A93" t="str">
            <v>5-1-01-04-008  MANTENCION CLIMA</v>
          </cell>
          <cell r="B93">
            <v>1606761</v>
          </cell>
          <cell r="C93">
            <v>0</v>
          </cell>
          <cell r="D93">
            <v>1606761</v>
          </cell>
          <cell r="E93">
            <v>0</v>
          </cell>
          <cell r="F93">
            <v>0</v>
          </cell>
          <cell r="G93">
            <v>0</v>
          </cell>
          <cell r="H93">
            <v>1606761</v>
          </cell>
          <cell r="I93">
            <v>0</v>
          </cell>
          <cell r="J93">
            <v>-1606761</v>
          </cell>
        </row>
        <row r="94">
          <cell r="A94" t="str">
            <v>5-1-01-04-010  MANTENCION ALCANTARILLADOS</v>
          </cell>
          <cell r="B94">
            <v>3787047</v>
          </cell>
          <cell r="C94">
            <v>0</v>
          </cell>
          <cell r="D94">
            <v>3787047</v>
          </cell>
          <cell r="E94">
            <v>0</v>
          </cell>
          <cell r="F94">
            <v>0</v>
          </cell>
          <cell r="G94">
            <v>0</v>
          </cell>
          <cell r="H94">
            <v>3787047</v>
          </cell>
          <cell r="I94">
            <v>0</v>
          </cell>
          <cell r="J94">
            <v>-3787047</v>
          </cell>
        </row>
        <row r="95">
          <cell r="A95" t="str">
            <v>5-1-01-04-011  MANTENCION GENERAL</v>
          </cell>
          <cell r="B95">
            <v>9590163</v>
          </cell>
          <cell r="C95">
            <v>0</v>
          </cell>
          <cell r="D95">
            <v>9590163</v>
          </cell>
          <cell r="E95">
            <v>0</v>
          </cell>
          <cell r="F95">
            <v>0</v>
          </cell>
          <cell r="G95">
            <v>0</v>
          </cell>
          <cell r="H95">
            <v>9590163</v>
          </cell>
          <cell r="I95">
            <v>0</v>
          </cell>
          <cell r="J95">
            <v>-9590163</v>
          </cell>
        </row>
        <row r="96">
          <cell r="A96" t="str">
            <v>5-1-01-04-013  MANTENCION ELECTRICA</v>
          </cell>
          <cell r="B96">
            <v>369000</v>
          </cell>
          <cell r="C96">
            <v>0</v>
          </cell>
          <cell r="D96">
            <v>369000</v>
          </cell>
          <cell r="E96">
            <v>0</v>
          </cell>
          <cell r="F96">
            <v>0</v>
          </cell>
          <cell r="G96">
            <v>0</v>
          </cell>
          <cell r="H96">
            <v>369000</v>
          </cell>
          <cell r="I96">
            <v>0</v>
          </cell>
          <cell r="J96">
            <v>-369000</v>
          </cell>
        </row>
        <row r="97">
          <cell r="A97" t="str">
            <v>5-1-01-04-018  MANTENCION ELECTRICA CORRECTIVA</v>
          </cell>
          <cell r="B97">
            <v>1700050</v>
          </cell>
          <cell r="C97">
            <v>0</v>
          </cell>
          <cell r="D97">
            <v>1700050</v>
          </cell>
          <cell r="E97">
            <v>0</v>
          </cell>
          <cell r="F97">
            <v>0</v>
          </cell>
          <cell r="G97">
            <v>0</v>
          </cell>
          <cell r="H97">
            <v>1700050</v>
          </cell>
          <cell r="I97">
            <v>0</v>
          </cell>
          <cell r="J97">
            <v>-1700050</v>
          </cell>
        </row>
        <row r="98">
          <cell r="A98" t="str">
            <v>5-1-01-04-019  MANTENCION CAMARAS DESGRASADORAS</v>
          </cell>
          <cell r="B98">
            <v>867016</v>
          </cell>
          <cell r="C98">
            <v>0</v>
          </cell>
          <cell r="D98">
            <v>867016</v>
          </cell>
          <cell r="E98">
            <v>0</v>
          </cell>
          <cell r="F98">
            <v>0</v>
          </cell>
          <cell r="G98">
            <v>0</v>
          </cell>
          <cell r="H98">
            <v>867016</v>
          </cell>
          <cell r="I98">
            <v>0</v>
          </cell>
          <cell r="J98">
            <v>-867016</v>
          </cell>
        </row>
        <row r="99">
          <cell r="A99" t="str">
            <v>5-1-01-04-022  CERTIFICACIÓN TRANSPORTE VERTICAL</v>
          </cell>
          <cell r="B99">
            <v>633097</v>
          </cell>
          <cell r="C99">
            <v>0</v>
          </cell>
          <cell r="D99">
            <v>633097</v>
          </cell>
          <cell r="E99">
            <v>0</v>
          </cell>
          <cell r="F99">
            <v>0</v>
          </cell>
          <cell r="G99">
            <v>0</v>
          </cell>
          <cell r="H99">
            <v>633097</v>
          </cell>
          <cell r="I99">
            <v>0</v>
          </cell>
          <cell r="J99">
            <v>-633097</v>
          </cell>
        </row>
        <row r="100">
          <cell r="A100" t="str">
            <v>5-1-01-05-006  COMPRAS PETROLEO GAS BENCINA</v>
          </cell>
          <cell r="B100">
            <v>2666694</v>
          </cell>
          <cell r="C100">
            <v>0</v>
          </cell>
          <cell r="D100">
            <v>2666694</v>
          </cell>
          <cell r="E100">
            <v>0</v>
          </cell>
          <cell r="F100">
            <v>0</v>
          </cell>
          <cell r="G100">
            <v>0</v>
          </cell>
          <cell r="H100">
            <v>2666694</v>
          </cell>
          <cell r="I100">
            <v>0</v>
          </cell>
          <cell r="J100">
            <v>-2666694</v>
          </cell>
        </row>
        <row r="101">
          <cell r="A101" t="str">
            <v>5-1-01-06-001  CONSUMO AGUA COMUN</v>
          </cell>
          <cell r="B101">
            <v>9836873</v>
          </cell>
          <cell r="C101">
            <v>837249</v>
          </cell>
          <cell r="D101">
            <v>8999624</v>
          </cell>
          <cell r="E101">
            <v>0</v>
          </cell>
          <cell r="F101">
            <v>0</v>
          </cell>
          <cell r="G101">
            <v>0</v>
          </cell>
          <cell r="H101">
            <v>8999624</v>
          </cell>
          <cell r="I101">
            <v>0</v>
          </cell>
          <cell r="J101">
            <v>-8999624</v>
          </cell>
        </row>
        <row r="102">
          <cell r="A102" t="str">
            <v>5-1-01-06-002  CONSUMO ENERGIA COMUN</v>
          </cell>
          <cell r="B102">
            <v>213989230</v>
          </cell>
          <cell r="C102">
            <v>5134706</v>
          </cell>
          <cell r="D102">
            <v>208854524</v>
          </cell>
          <cell r="E102">
            <v>0</v>
          </cell>
          <cell r="F102">
            <v>0</v>
          </cell>
          <cell r="G102">
            <v>0</v>
          </cell>
          <cell r="H102">
            <v>208854524</v>
          </cell>
          <cell r="I102">
            <v>0</v>
          </cell>
          <cell r="J102">
            <v>-208854524</v>
          </cell>
        </row>
        <row r="103">
          <cell r="A103" t="str">
            <v>5-1-01-06-003  GASTO COMUN PROPIO</v>
          </cell>
          <cell r="B103">
            <v>849615</v>
          </cell>
          <cell r="C103">
            <v>0</v>
          </cell>
          <cell r="D103">
            <v>849615</v>
          </cell>
          <cell r="E103">
            <v>0</v>
          </cell>
          <cell r="F103">
            <v>0</v>
          </cell>
          <cell r="G103">
            <v>0</v>
          </cell>
          <cell r="H103">
            <v>849615</v>
          </cell>
          <cell r="I103">
            <v>0</v>
          </cell>
          <cell r="J103">
            <v>-849615</v>
          </cell>
        </row>
        <row r="104">
          <cell r="A104" t="str">
            <v>5-1-01-06-004  SERVICIOS INFORMATICOS DE SISTEMAS</v>
          </cell>
          <cell r="B104">
            <v>1344545</v>
          </cell>
          <cell r="C104">
            <v>521799</v>
          </cell>
          <cell r="D104">
            <v>822746</v>
          </cell>
          <cell r="E104">
            <v>0</v>
          </cell>
          <cell r="F104">
            <v>0</v>
          </cell>
          <cell r="G104">
            <v>0</v>
          </cell>
          <cell r="H104">
            <v>822746</v>
          </cell>
          <cell r="I104">
            <v>0</v>
          </cell>
          <cell r="J104">
            <v>-822746</v>
          </cell>
        </row>
        <row r="105">
          <cell r="A105" t="str">
            <v>5-1-01-07-001  TELEFONO</v>
          </cell>
          <cell r="B105">
            <v>96704</v>
          </cell>
          <cell r="C105">
            <v>231</v>
          </cell>
          <cell r="D105">
            <v>96473</v>
          </cell>
          <cell r="E105">
            <v>0</v>
          </cell>
          <cell r="F105">
            <v>0</v>
          </cell>
          <cell r="G105">
            <v>0</v>
          </cell>
          <cell r="H105">
            <v>96473</v>
          </cell>
          <cell r="I105">
            <v>0</v>
          </cell>
          <cell r="J105">
            <v>-96473</v>
          </cell>
        </row>
        <row r="106">
          <cell r="A106" t="str">
            <v>5-1-01-07-002  INTERNET</v>
          </cell>
          <cell r="B106">
            <v>2172274</v>
          </cell>
          <cell r="C106">
            <v>0</v>
          </cell>
          <cell r="D106">
            <v>2172274</v>
          </cell>
          <cell r="E106">
            <v>0</v>
          </cell>
          <cell r="F106">
            <v>0</v>
          </cell>
          <cell r="G106">
            <v>0</v>
          </cell>
          <cell r="H106">
            <v>2172274</v>
          </cell>
          <cell r="I106">
            <v>0</v>
          </cell>
          <cell r="J106">
            <v>-2172274</v>
          </cell>
        </row>
        <row r="107">
          <cell r="A107" t="str">
            <v>5-1-01-07-005  ARTICULOS DE OFICINA</v>
          </cell>
          <cell r="B107">
            <v>1021099</v>
          </cell>
          <cell r="C107">
            <v>0</v>
          </cell>
          <cell r="D107">
            <v>1021099</v>
          </cell>
          <cell r="E107">
            <v>0</v>
          </cell>
          <cell r="F107">
            <v>0</v>
          </cell>
          <cell r="G107">
            <v>0</v>
          </cell>
          <cell r="H107">
            <v>1021099</v>
          </cell>
          <cell r="I107">
            <v>0</v>
          </cell>
          <cell r="J107">
            <v>-1021099</v>
          </cell>
        </row>
        <row r="108">
          <cell r="A108" t="str">
            <v>5-1-01-07-006  GASTO FLETES</v>
          </cell>
          <cell r="B108">
            <v>58824</v>
          </cell>
          <cell r="C108">
            <v>0</v>
          </cell>
          <cell r="D108">
            <v>58824</v>
          </cell>
          <cell r="E108">
            <v>0</v>
          </cell>
          <cell r="F108">
            <v>0</v>
          </cell>
          <cell r="G108">
            <v>0</v>
          </cell>
          <cell r="H108">
            <v>58824</v>
          </cell>
          <cell r="I108">
            <v>0</v>
          </cell>
          <cell r="J108">
            <v>-58824</v>
          </cell>
        </row>
        <row r="109">
          <cell r="A109" t="str">
            <v>5-1-01-08-001  SEGUROS BIENES FISICOS Y RESPONSABILIDAD CIVIL</v>
          </cell>
          <cell r="B109">
            <v>4679475</v>
          </cell>
          <cell r="C109">
            <v>0</v>
          </cell>
          <cell r="D109">
            <v>4679475</v>
          </cell>
          <cell r="E109">
            <v>0</v>
          </cell>
          <cell r="F109">
            <v>0</v>
          </cell>
          <cell r="G109">
            <v>0</v>
          </cell>
          <cell r="H109">
            <v>4679475</v>
          </cell>
          <cell r="I109">
            <v>0</v>
          </cell>
          <cell r="J109">
            <v>-4679475</v>
          </cell>
        </row>
        <row r="110">
          <cell r="A110" t="str">
            <v>5-1-01-10-003  REMUNERACIONES TENS Y RRHH</v>
          </cell>
          <cell r="B110">
            <v>4601544</v>
          </cell>
          <cell r="C110">
            <v>0</v>
          </cell>
          <cell r="D110">
            <v>4601544</v>
          </cell>
          <cell r="E110">
            <v>0</v>
          </cell>
          <cell r="F110">
            <v>0</v>
          </cell>
          <cell r="G110">
            <v>0</v>
          </cell>
          <cell r="H110">
            <v>4601544</v>
          </cell>
          <cell r="I110">
            <v>0</v>
          </cell>
          <cell r="J110">
            <v>-4601544</v>
          </cell>
        </row>
        <row r="111">
          <cell r="A111" t="str">
            <v>5-1-01-11-001  HABILITACIÓN LOCALES OUTLET FLORIDA</v>
          </cell>
          <cell r="B111">
            <v>33201490</v>
          </cell>
          <cell r="C111">
            <v>635142</v>
          </cell>
          <cell r="D111">
            <v>32566348</v>
          </cell>
          <cell r="E111">
            <v>0</v>
          </cell>
          <cell r="F111">
            <v>0</v>
          </cell>
          <cell r="G111">
            <v>0</v>
          </cell>
          <cell r="H111">
            <v>32566348</v>
          </cell>
          <cell r="I111">
            <v>0</v>
          </cell>
          <cell r="J111">
            <v>-32566348</v>
          </cell>
        </row>
        <row r="112">
          <cell r="A112" t="str">
            <v>5-1-01-11-002  HABILITACIÓN LOCALES STRIP FLORIDA</v>
          </cell>
          <cell r="B112">
            <v>10546248</v>
          </cell>
          <cell r="C112">
            <v>117010</v>
          </cell>
          <cell r="D112">
            <v>10429238</v>
          </cell>
          <cell r="E112">
            <v>0</v>
          </cell>
          <cell r="F112">
            <v>0</v>
          </cell>
          <cell r="G112">
            <v>0</v>
          </cell>
          <cell r="H112">
            <v>10429238</v>
          </cell>
          <cell r="I112">
            <v>0</v>
          </cell>
          <cell r="J112">
            <v>-10429238</v>
          </cell>
        </row>
        <row r="113">
          <cell r="A113" t="str">
            <v>5-1-03-01-004  PROMOCIONES VARIAS</v>
          </cell>
          <cell r="B113">
            <v>940768</v>
          </cell>
          <cell r="C113">
            <v>0</v>
          </cell>
          <cell r="D113">
            <v>940768</v>
          </cell>
          <cell r="E113">
            <v>0</v>
          </cell>
          <cell r="F113">
            <v>0</v>
          </cell>
          <cell r="G113">
            <v>0</v>
          </cell>
          <cell r="H113">
            <v>940768</v>
          </cell>
          <cell r="I113">
            <v>0</v>
          </cell>
          <cell r="J113">
            <v>-940768</v>
          </cell>
        </row>
        <row r="114">
          <cell r="A114" t="str">
            <v>5-1-03-01-005  GASTOS DERECHO AUTOR</v>
          </cell>
          <cell r="B114">
            <v>279720</v>
          </cell>
          <cell r="C114">
            <v>0</v>
          </cell>
          <cell r="D114">
            <v>279720</v>
          </cell>
          <cell r="E114">
            <v>0</v>
          </cell>
          <cell r="F114">
            <v>0</v>
          </cell>
          <cell r="G114">
            <v>0</v>
          </cell>
          <cell r="H114">
            <v>279720</v>
          </cell>
          <cell r="I114">
            <v>0</v>
          </cell>
          <cell r="J114">
            <v>-279720</v>
          </cell>
        </row>
        <row r="115">
          <cell r="A115" t="str">
            <v>5-2-01-01-001  REMUNERACIONES BRUTAS</v>
          </cell>
          <cell r="B115">
            <v>106776074</v>
          </cell>
          <cell r="C115">
            <v>4</v>
          </cell>
          <cell r="D115">
            <v>106776070</v>
          </cell>
          <cell r="E115">
            <v>0</v>
          </cell>
          <cell r="F115">
            <v>0</v>
          </cell>
          <cell r="G115">
            <v>0</v>
          </cell>
          <cell r="H115">
            <v>106776070</v>
          </cell>
          <cell r="I115">
            <v>0</v>
          </cell>
          <cell r="J115">
            <v>-106776070</v>
          </cell>
        </row>
        <row r="116">
          <cell r="A116" t="str">
            <v>5-2-01-01-002  APORTES PATRONALES</v>
          </cell>
          <cell r="B116">
            <v>1781844</v>
          </cell>
          <cell r="C116">
            <v>0</v>
          </cell>
          <cell r="D116">
            <v>1781844</v>
          </cell>
          <cell r="E116">
            <v>0</v>
          </cell>
          <cell r="F116">
            <v>0</v>
          </cell>
          <cell r="G116">
            <v>0</v>
          </cell>
          <cell r="H116">
            <v>1781844</v>
          </cell>
          <cell r="I116">
            <v>0</v>
          </cell>
          <cell r="J116">
            <v>-1781844</v>
          </cell>
        </row>
        <row r="117">
          <cell r="A117" t="str">
            <v>5-2-01-01-004  GRATIFICACIONES</v>
          </cell>
          <cell r="B117">
            <v>4116527</v>
          </cell>
          <cell r="C117">
            <v>0</v>
          </cell>
          <cell r="D117">
            <v>4116527</v>
          </cell>
          <cell r="E117">
            <v>0</v>
          </cell>
          <cell r="F117">
            <v>0</v>
          </cell>
          <cell r="G117">
            <v>0</v>
          </cell>
          <cell r="H117">
            <v>4116527</v>
          </cell>
          <cell r="I117">
            <v>0</v>
          </cell>
          <cell r="J117">
            <v>-4116527</v>
          </cell>
        </row>
        <row r="118">
          <cell r="A118" t="str">
            <v>5-2-01-01-006  OTROS NO IMPONIBLES</v>
          </cell>
          <cell r="B118">
            <v>4015318</v>
          </cell>
          <cell r="C118">
            <v>0</v>
          </cell>
          <cell r="D118">
            <v>4015318</v>
          </cell>
          <cell r="E118">
            <v>0</v>
          </cell>
          <cell r="F118">
            <v>0</v>
          </cell>
          <cell r="G118">
            <v>0</v>
          </cell>
          <cell r="H118">
            <v>4015318</v>
          </cell>
          <cell r="I118">
            <v>0</v>
          </cell>
          <cell r="J118">
            <v>-4015318</v>
          </cell>
        </row>
        <row r="119">
          <cell r="A119" t="str">
            <v>5-2-01-01-008  SEGURO COMPLEMENTARIO SALUD</v>
          </cell>
          <cell r="B119">
            <v>0</v>
          </cell>
          <cell r="C119">
            <v>291707</v>
          </cell>
          <cell r="D119">
            <v>0</v>
          </cell>
          <cell r="E119">
            <v>291707</v>
          </cell>
          <cell r="F119">
            <v>0</v>
          </cell>
          <cell r="G119">
            <v>0</v>
          </cell>
          <cell r="H119">
            <v>0</v>
          </cell>
          <cell r="I119">
            <v>291707</v>
          </cell>
          <cell r="J119">
            <v>291707</v>
          </cell>
        </row>
        <row r="120">
          <cell r="A120" t="str">
            <v>5-2-01-02-001  HONORARIOS CONTABLES</v>
          </cell>
          <cell r="B120">
            <v>2927814</v>
          </cell>
          <cell r="C120">
            <v>0</v>
          </cell>
          <cell r="D120">
            <v>2927814</v>
          </cell>
          <cell r="E120">
            <v>0</v>
          </cell>
          <cell r="F120">
            <v>0</v>
          </cell>
          <cell r="G120">
            <v>0</v>
          </cell>
          <cell r="H120">
            <v>2927814</v>
          </cell>
          <cell r="I120">
            <v>0</v>
          </cell>
          <cell r="J120">
            <v>-2927814</v>
          </cell>
        </row>
        <row r="121">
          <cell r="A121" t="str">
            <v>5-2-01-02-002  HONORARIOS SERVICIOS LEGALES</v>
          </cell>
          <cell r="B121">
            <v>4750176</v>
          </cell>
          <cell r="C121">
            <v>0</v>
          </cell>
          <cell r="D121">
            <v>4750176</v>
          </cell>
          <cell r="E121">
            <v>0</v>
          </cell>
          <cell r="F121">
            <v>0</v>
          </cell>
          <cell r="G121">
            <v>0</v>
          </cell>
          <cell r="H121">
            <v>4750176</v>
          </cell>
          <cell r="I121">
            <v>0</v>
          </cell>
          <cell r="J121">
            <v>-4750176</v>
          </cell>
        </row>
        <row r="122">
          <cell r="A122" t="str">
            <v>5-2-01-02-003  ASESORIAS Y CONSULTORIAS</v>
          </cell>
          <cell r="B122">
            <v>61151140</v>
          </cell>
          <cell r="C122">
            <v>0</v>
          </cell>
          <cell r="D122">
            <v>61151140</v>
          </cell>
          <cell r="E122">
            <v>0</v>
          </cell>
          <cell r="F122">
            <v>0</v>
          </cell>
          <cell r="G122">
            <v>0</v>
          </cell>
          <cell r="H122">
            <v>61151140</v>
          </cell>
          <cell r="I122">
            <v>0</v>
          </cell>
          <cell r="J122">
            <v>-61151140</v>
          </cell>
        </row>
        <row r="123">
          <cell r="A123" t="str">
            <v>5-2-01-02-004  SERVICIOS DE ASEO</v>
          </cell>
          <cell r="B123">
            <v>21443753</v>
          </cell>
          <cell r="C123">
            <v>151160</v>
          </cell>
          <cell r="D123">
            <v>21292593</v>
          </cell>
          <cell r="E123">
            <v>0</v>
          </cell>
          <cell r="F123">
            <v>0</v>
          </cell>
          <cell r="G123">
            <v>0</v>
          </cell>
          <cell r="H123">
            <v>21292593</v>
          </cell>
          <cell r="I123">
            <v>0</v>
          </cell>
          <cell r="J123">
            <v>-21292593</v>
          </cell>
        </row>
        <row r="124">
          <cell r="A124" t="str">
            <v>5-2-01-02-005  SERVICIOS DE ARQUITECTURA</v>
          </cell>
          <cell r="B124">
            <v>7492340</v>
          </cell>
          <cell r="C124">
            <v>0</v>
          </cell>
          <cell r="D124">
            <v>7492340</v>
          </cell>
          <cell r="E124">
            <v>0</v>
          </cell>
          <cell r="F124">
            <v>0</v>
          </cell>
          <cell r="G124">
            <v>0</v>
          </cell>
          <cell r="H124">
            <v>7492340</v>
          </cell>
          <cell r="I124">
            <v>0</v>
          </cell>
          <cell r="J124">
            <v>-7492340</v>
          </cell>
        </row>
        <row r="125">
          <cell r="A125" t="str">
            <v>5-2-01-02-007  SERVICIOS DE PUBLICIDAD Y MARKETING</v>
          </cell>
          <cell r="B125">
            <v>11817935</v>
          </cell>
          <cell r="C125">
            <v>0</v>
          </cell>
          <cell r="D125">
            <v>11817935</v>
          </cell>
          <cell r="E125">
            <v>0</v>
          </cell>
          <cell r="F125">
            <v>0</v>
          </cell>
          <cell r="G125">
            <v>0</v>
          </cell>
          <cell r="H125">
            <v>11817935</v>
          </cell>
          <cell r="I125">
            <v>0</v>
          </cell>
          <cell r="J125">
            <v>-11817935</v>
          </cell>
        </row>
        <row r="126">
          <cell r="A126" t="str">
            <v>5-2-01-02-010  HONORARIOS DE COMERCIALIZACION</v>
          </cell>
          <cell r="B126">
            <v>100916823</v>
          </cell>
          <cell r="C126">
            <v>0</v>
          </cell>
          <cell r="D126">
            <v>100916823</v>
          </cell>
          <cell r="E126">
            <v>0</v>
          </cell>
          <cell r="F126">
            <v>0</v>
          </cell>
          <cell r="G126">
            <v>0</v>
          </cell>
          <cell r="H126">
            <v>100916823</v>
          </cell>
          <cell r="I126">
            <v>0</v>
          </cell>
          <cell r="J126">
            <v>-100916823</v>
          </cell>
        </row>
        <row r="127">
          <cell r="A127" t="str">
            <v>5-2-01-03-002  GASTOS NOTARIALES</v>
          </cell>
          <cell r="B127">
            <v>3076500</v>
          </cell>
          <cell r="C127">
            <v>0</v>
          </cell>
          <cell r="D127">
            <v>3076500</v>
          </cell>
          <cell r="E127">
            <v>0</v>
          </cell>
          <cell r="F127">
            <v>0</v>
          </cell>
          <cell r="G127">
            <v>0</v>
          </cell>
          <cell r="H127">
            <v>3076500</v>
          </cell>
          <cell r="I127">
            <v>0</v>
          </cell>
          <cell r="J127">
            <v>-3076500</v>
          </cell>
        </row>
        <row r="128">
          <cell r="A128" t="str">
            <v>5-2-01-03-004  GASTO IVA PROPORCIONAL</v>
          </cell>
          <cell r="B128">
            <v>18171247</v>
          </cell>
          <cell r="C128">
            <v>0</v>
          </cell>
          <cell r="D128">
            <v>18171247</v>
          </cell>
          <cell r="E128">
            <v>0</v>
          </cell>
          <cell r="F128">
            <v>0</v>
          </cell>
          <cell r="G128">
            <v>0</v>
          </cell>
          <cell r="H128">
            <v>18171247</v>
          </cell>
          <cell r="I128">
            <v>0</v>
          </cell>
          <cell r="J128">
            <v>-18171247</v>
          </cell>
        </row>
        <row r="129">
          <cell r="A129" t="str">
            <v>5-2-01-03-006  GASTOS GENERALES</v>
          </cell>
          <cell r="B129">
            <v>6199653</v>
          </cell>
          <cell r="C129">
            <v>0</v>
          </cell>
          <cell r="D129">
            <v>6199653</v>
          </cell>
          <cell r="E129">
            <v>0</v>
          </cell>
          <cell r="F129">
            <v>0</v>
          </cell>
          <cell r="G129">
            <v>0</v>
          </cell>
          <cell r="H129">
            <v>6199653</v>
          </cell>
          <cell r="I129">
            <v>0</v>
          </cell>
          <cell r="J129">
            <v>-6199653</v>
          </cell>
        </row>
        <row r="130">
          <cell r="A130" t="str">
            <v>5-2-01-05-001  GASTOS DE REPRESENTACION</v>
          </cell>
          <cell r="B130">
            <v>2074387</v>
          </cell>
          <cell r="C130">
            <v>0</v>
          </cell>
          <cell r="D130">
            <v>2074387</v>
          </cell>
          <cell r="E130">
            <v>0</v>
          </cell>
          <cell r="F130">
            <v>0</v>
          </cell>
          <cell r="G130">
            <v>0</v>
          </cell>
          <cell r="H130">
            <v>2074387</v>
          </cell>
          <cell r="I130">
            <v>0</v>
          </cell>
          <cell r="J130">
            <v>-2074387</v>
          </cell>
        </row>
        <row r="131">
          <cell r="A131" t="str">
            <v>5-2-01-06-001  ARRIENDOS</v>
          </cell>
          <cell r="B131">
            <v>4607037</v>
          </cell>
          <cell r="C131">
            <v>0</v>
          </cell>
          <cell r="D131">
            <v>4607037</v>
          </cell>
          <cell r="E131">
            <v>0</v>
          </cell>
          <cell r="F131">
            <v>0</v>
          </cell>
          <cell r="G131">
            <v>0</v>
          </cell>
          <cell r="H131">
            <v>4607037</v>
          </cell>
          <cell r="I131">
            <v>0</v>
          </cell>
          <cell r="J131">
            <v>-4607037</v>
          </cell>
        </row>
        <row r="132">
          <cell r="A132" t="str">
            <v>5-3-01-01-001  INTERESES LEASING</v>
          </cell>
          <cell r="B132">
            <v>72015571</v>
          </cell>
          <cell r="C132">
            <v>0</v>
          </cell>
          <cell r="D132">
            <v>72015571</v>
          </cell>
          <cell r="E132">
            <v>0</v>
          </cell>
          <cell r="F132">
            <v>0</v>
          </cell>
          <cell r="G132">
            <v>0</v>
          </cell>
          <cell r="H132">
            <v>72015571</v>
          </cell>
          <cell r="I132">
            <v>0</v>
          </cell>
          <cell r="J132">
            <v>-72015571</v>
          </cell>
        </row>
        <row r="133">
          <cell r="A133" t="str">
            <v>5-3-01-01-002  GASTOS BANCARIOS</v>
          </cell>
          <cell r="B133">
            <v>1023429</v>
          </cell>
          <cell r="C133">
            <v>0</v>
          </cell>
          <cell r="D133">
            <v>1023429</v>
          </cell>
          <cell r="E133">
            <v>0</v>
          </cell>
          <cell r="F133">
            <v>0</v>
          </cell>
          <cell r="G133">
            <v>0</v>
          </cell>
          <cell r="H133">
            <v>1023429</v>
          </cell>
          <cell r="I133">
            <v>0</v>
          </cell>
          <cell r="J133">
            <v>-1023429</v>
          </cell>
        </row>
        <row r="134">
          <cell r="A134" t="str">
            <v>5-3-01-01-003  MULTAS INTERESES Y REAJUSTES</v>
          </cell>
          <cell r="B134">
            <v>511872</v>
          </cell>
          <cell r="C134">
            <v>0</v>
          </cell>
          <cell r="D134">
            <v>511872</v>
          </cell>
          <cell r="E134">
            <v>0</v>
          </cell>
          <cell r="F134">
            <v>0</v>
          </cell>
          <cell r="G134">
            <v>0</v>
          </cell>
          <cell r="H134">
            <v>511872</v>
          </cell>
          <cell r="I134">
            <v>0</v>
          </cell>
          <cell r="J134">
            <v>-511872</v>
          </cell>
        </row>
        <row r="135">
          <cell r="A135" t="str">
            <v>5-3-01-01-005  GASTOS E INTERESES COMERCIALES</v>
          </cell>
          <cell r="B135">
            <v>3288344</v>
          </cell>
          <cell r="C135">
            <v>0</v>
          </cell>
          <cell r="D135">
            <v>3288344</v>
          </cell>
          <cell r="E135">
            <v>0</v>
          </cell>
          <cell r="F135">
            <v>0</v>
          </cell>
          <cell r="G135">
            <v>0</v>
          </cell>
          <cell r="H135">
            <v>3288344</v>
          </cell>
          <cell r="I135">
            <v>0</v>
          </cell>
          <cell r="J135">
            <v>-3288344</v>
          </cell>
        </row>
        <row r="136">
          <cell r="A136" t="str">
            <v>5-3-01-02-006  GANANCIA (PERDIDA) SWAP</v>
          </cell>
          <cell r="B136">
            <v>96743345</v>
          </cell>
          <cell r="C136">
            <v>0</v>
          </cell>
          <cell r="D136">
            <v>96743345</v>
          </cell>
          <cell r="E136">
            <v>0</v>
          </cell>
          <cell r="F136">
            <v>0</v>
          </cell>
          <cell r="G136">
            <v>0</v>
          </cell>
          <cell r="H136">
            <v>96743345</v>
          </cell>
          <cell r="I136">
            <v>0</v>
          </cell>
          <cell r="J136">
            <v>-96743345</v>
          </cell>
        </row>
        <row r="137">
          <cell r="A137" t="str">
            <v>5-3-01-02-007  MAYOR / MENOR VALOR DE INVERSIONES</v>
          </cell>
          <cell r="B137">
            <v>6602035</v>
          </cell>
          <cell r="C137">
            <v>27417852</v>
          </cell>
          <cell r="D137">
            <v>0</v>
          </cell>
          <cell r="E137">
            <v>20815817</v>
          </cell>
          <cell r="F137">
            <v>0</v>
          </cell>
          <cell r="G137">
            <v>0</v>
          </cell>
          <cell r="H137">
            <v>0</v>
          </cell>
          <cell r="I137">
            <v>20815817</v>
          </cell>
          <cell r="J137">
            <v>20815817</v>
          </cell>
        </row>
        <row r="138">
          <cell r="A138" t="str">
            <v>5-3-01-03-004  CORRECCION REMANENTE CREDITO FISCAL</v>
          </cell>
          <cell r="B138">
            <v>0</v>
          </cell>
          <cell r="C138">
            <v>1307538</v>
          </cell>
          <cell r="D138">
            <v>0</v>
          </cell>
          <cell r="E138">
            <v>1307538</v>
          </cell>
          <cell r="F138">
            <v>0</v>
          </cell>
          <cell r="G138">
            <v>0</v>
          </cell>
          <cell r="H138">
            <v>0</v>
          </cell>
          <cell r="I138">
            <v>1307538</v>
          </cell>
          <cell r="J138">
            <v>1307538</v>
          </cell>
        </row>
        <row r="139">
          <cell r="A139" t="str">
            <v>5-3-01-03-006  CORRECCION EN UF</v>
          </cell>
          <cell r="B139">
            <v>139735</v>
          </cell>
          <cell r="C139">
            <v>0</v>
          </cell>
          <cell r="D139">
            <v>139735</v>
          </cell>
          <cell r="E139">
            <v>0</v>
          </cell>
          <cell r="F139">
            <v>0</v>
          </cell>
          <cell r="G139">
            <v>0</v>
          </cell>
          <cell r="H139">
            <v>139735</v>
          </cell>
          <cell r="I139">
            <v>0</v>
          </cell>
          <cell r="J139">
            <v>-139735</v>
          </cell>
        </row>
        <row r="140">
          <cell r="A140" t="str">
            <v>5-3-01-03-011  VARIACION USD</v>
          </cell>
          <cell r="B140">
            <v>2944730</v>
          </cell>
          <cell r="C140">
            <v>0</v>
          </cell>
          <cell r="D140">
            <v>2944730</v>
          </cell>
          <cell r="E140">
            <v>0</v>
          </cell>
          <cell r="F140">
            <v>0</v>
          </cell>
          <cell r="G140">
            <v>0</v>
          </cell>
          <cell r="H140">
            <v>2944730</v>
          </cell>
          <cell r="I140">
            <v>0</v>
          </cell>
          <cell r="J140">
            <v>-2944730</v>
          </cell>
        </row>
        <row r="141">
          <cell r="A141" t="str">
            <v>Sub-Totales</v>
          </cell>
          <cell r="B141">
            <v>7951641437</v>
          </cell>
          <cell r="C141">
            <v>7951641437</v>
          </cell>
          <cell r="D141">
            <v>1914030808</v>
          </cell>
          <cell r="E141">
            <v>1914030808</v>
          </cell>
          <cell r="F141">
            <v>989063268</v>
          </cell>
          <cell r="G141">
            <v>747511719</v>
          </cell>
          <cell r="H141">
            <v>924967540</v>
          </cell>
          <cell r="I141">
            <v>1166519089</v>
          </cell>
          <cell r="J141">
            <v>0</v>
          </cell>
        </row>
        <row r="142">
          <cell r="A142" t="str">
            <v>Pérdidas / Ganancias</v>
          </cell>
          <cell r="B142"/>
          <cell r="C142"/>
          <cell r="D142"/>
          <cell r="E142"/>
          <cell r="F142"/>
          <cell r="G142">
            <v>241551549</v>
          </cell>
          <cell r="H142">
            <v>241551549</v>
          </cell>
          <cell r="I142"/>
          <cell r="J142">
            <v>0</v>
          </cell>
        </row>
        <row r="143">
          <cell r="A143" t="str">
            <v>Total General</v>
          </cell>
          <cell r="B143">
            <v>7951641437</v>
          </cell>
          <cell r="C143">
            <v>7951641437</v>
          </cell>
          <cell r="D143">
            <v>1914030808</v>
          </cell>
          <cell r="E143">
            <v>1914030808</v>
          </cell>
          <cell r="F143">
            <v>989063268</v>
          </cell>
          <cell r="G143">
            <v>989063268</v>
          </cell>
          <cell r="H143">
            <v>1166519089</v>
          </cell>
          <cell r="I143">
            <v>1166519089</v>
          </cell>
          <cell r="J143">
            <v>0</v>
          </cell>
        </row>
      </sheetData>
      <sheetData sheetId="13">
        <row r="1">
          <cell r="A1" t="str">
            <v>INVERSIONES SANTA FIDELMIRA LIMITADA</v>
          </cell>
          <cell r="B1"/>
          <cell r="C1"/>
          <cell r="D1"/>
          <cell r="E1"/>
          <cell r="F1"/>
          <cell r="G1"/>
          <cell r="H1"/>
          <cell r="I1"/>
        </row>
        <row r="2">
          <cell r="A2" t="str">
            <v>ARRIENDO, EXPLOTACION  BIENES INMUEBLES</v>
          </cell>
          <cell r="B2"/>
          <cell r="C2"/>
          <cell r="D2"/>
          <cell r="E2"/>
          <cell r="F2"/>
          <cell r="G2"/>
          <cell r="H2"/>
          <cell r="I2"/>
        </row>
        <row r="3">
          <cell r="A3" t="str">
            <v>MAIPU #599</v>
          </cell>
          <cell r="B3"/>
          <cell r="C3"/>
          <cell r="D3"/>
          <cell r="E3"/>
          <cell r="F3"/>
          <cell r="G3"/>
          <cell r="H3"/>
          <cell r="I3"/>
        </row>
        <row r="4">
          <cell r="A4" t="str">
            <v>LINARES</v>
          </cell>
          <cell r="B4"/>
          <cell r="C4"/>
          <cell r="D4"/>
          <cell r="E4"/>
          <cell r="F4"/>
          <cell r="G4"/>
          <cell r="H4"/>
          <cell r="I4"/>
        </row>
        <row r="5">
          <cell r="A5" t="str">
            <v>LINARES</v>
          </cell>
          <cell r="B5"/>
          <cell r="C5"/>
          <cell r="D5"/>
          <cell r="E5"/>
          <cell r="F5"/>
          <cell r="G5"/>
          <cell r="H5"/>
          <cell r="I5"/>
        </row>
        <row r="6">
          <cell r="A6" t="str">
            <v>79.991.280-5</v>
          </cell>
          <cell r="B6"/>
          <cell r="C6"/>
          <cell r="D6"/>
          <cell r="E6"/>
          <cell r="F6"/>
          <cell r="G6"/>
          <cell r="H6" t="str">
            <v>Fecha :</v>
          </cell>
          <cell r="I6" t="str">
            <v>22/10/2025</v>
          </cell>
        </row>
        <row r="8">
          <cell r="A8" t="str">
            <v>Balance Tributario</v>
          </cell>
          <cell r="B8"/>
          <cell r="C8"/>
          <cell r="D8"/>
          <cell r="E8"/>
          <cell r="F8"/>
          <cell r="G8"/>
          <cell r="H8"/>
          <cell r="I8"/>
        </row>
        <row r="9">
          <cell r="A9" t="str">
            <v xml:space="preserve"> Desde :Mayo/2025</v>
          </cell>
          <cell r="B9"/>
          <cell r="C9"/>
          <cell r="D9"/>
          <cell r="E9"/>
          <cell r="F9"/>
          <cell r="G9"/>
          <cell r="H9"/>
          <cell r="I9"/>
        </row>
        <row r="10">
          <cell r="A10" t="str">
            <v xml:space="preserve"> Hasta :Mayo/2025</v>
          </cell>
          <cell r="B10"/>
          <cell r="C10"/>
          <cell r="D10"/>
          <cell r="E10"/>
          <cell r="F10"/>
          <cell r="G10"/>
          <cell r="H10"/>
          <cell r="I10"/>
        </row>
        <row r="12">
          <cell r="A12" t="str">
            <v>Cuenta Contable</v>
          </cell>
          <cell r="B12" t="str">
            <v>Valores Acumulados</v>
          </cell>
          <cell r="C12"/>
          <cell r="D12" t="str">
            <v>Saldos</v>
          </cell>
          <cell r="E12"/>
          <cell r="F12" t="str">
            <v>Inventario</v>
          </cell>
          <cell r="G12"/>
          <cell r="H12" t="str">
            <v>Resultados</v>
          </cell>
          <cell r="I12"/>
        </row>
        <row r="13">
          <cell r="A13"/>
          <cell r="B13" t="str">
            <v>Débitos</v>
          </cell>
          <cell r="C13" t="str">
            <v>Créditos</v>
          </cell>
          <cell r="D13" t="str">
            <v>Deudor</v>
          </cell>
          <cell r="E13" t="str">
            <v>Acreedor</v>
          </cell>
          <cell r="F13" t="str">
            <v>Activo</v>
          </cell>
          <cell r="G13" t="str">
            <v>Pasivo</v>
          </cell>
          <cell r="H13" t="str">
            <v>Pérdida</v>
          </cell>
          <cell r="I13" t="str">
            <v>Ganancia</v>
          </cell>
        </row>
        <row r="14">
          <cell r="A14" t="str">
            <v>1-1-10-01-004  CAJA CHICA OUTLET TALCA</v>
          </cell>
          <cell r="B14">
            <v>2000000</v>
          </cell>
          <cell r="C14">
            <v>2137862</v>
          </cell>
          <cell r="D14">
            <v>0</v>
          </cell>
          <cell r="E14">
            <v>137862</v>
          </cell>
          <cell r="F14">
            <v>0</v>
          </cell>
          <cell r="G14">
            <v>137862</v>
          </cell>
          <cell r="H14">
            <v>0</v>
          </cell>
          <cell r="I14">
            <v>0</v>
          </cell>
          <cell r="J14">
            <v>-137862</v>
          </cell>
        </row>
        <row r="15">
          <cell r="A15" t="str">
            <v>1-1-10-01-007  CAJA CHICA SANTIAGO</v>
          </cell>
          <cell r="B15">
            <v>528149</v>
          </cell>
          <cell r="C15">
            <v>293088</v>
          </cell>
          <cell r="D15">
            <v>235061</v>
          </cell>
          <cell r="E15">
            <v>0</v>
          </cell>
          <cell r="F15">
            <v>235061</v>
          </cell>
          <cell r="G15">
            <v>0</v>
          </cell>
          <cell r="H15">
            <v>0</v>
          </cell>
          <cell r="I15">
            <v>0</v>
          </cell>
          <cell r="J15">
            <v>235061</v>
          </cell>
        </row>
        <row r="16">
          <cell r="A16" t="str">
            <v>1-1-10-01-008  CAJA CHICA OFICINAS SANTIAGO</v>
          </cell>
          <cell r="B16">
            <v>2000000</v>
          </cell>
          <cell r="C16">
            <v>1701525</v>
          </cell>
          <cell r="D16">
            <v>298475</v>
          </cell>
          <cell r="E16">
            <v>0</v>
          </cell>
          <cell r="F16">
            <v>298475</v>
          </cell>
          <cell r="G16">
            <v>0</v>
          </cell>
          <cell r="H16">
            <v>0</v>
          </cell>
          <cell r="I16">
            <v>0</v>
          </cell>
          <cell r="J16">
            <v>298475</v>
          </cell>
        </row>
        <row r="17">
          <cell r="A17" t="str">
            <v>1-1-10-02-002  BANCO SANTANDER 25996240</v>
          </cell>
          <cell r="B17">
            <v>1974337375</v>
          </cell>
          <cell r="C17">
            <v>1946767362</v>
          </cell>
          <cell r="D17">
            <v>27570013</v>
          </cell>
          <cell r="E17">
            <v>0</v>
          </cell>
          <cell r="F17">
            <v>27570013</v>
          </cell>
          <cell r="G17">
            <v>0</v>
          </cell>
          <cell r="H17">
            <v>0</v>
          </cell>
          <cell r="I17">
            <v>0</v>
          </cell>
          <cell r="J17">
            <v>27570013</v>
          </cell>
        </row>
        <row r="18">
          <cell r="A18" t="str">
            <v>1-1-10-02-004  BANCO CREDITO E INVERSIONES</v>
          </cell>
          <cell r="B18">
            <v>167485334</v>
          </cell>
          <cell r="C18">
            <v>167485334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1-1-10-02-005  BANCO ITAU</v>
          </cell>
          <cell r="B19">
            <v>305793570</v>
          </cell>
          <cell r="C19">
            <v>304970124</v>
          </cell>
          <cell r="D19">
            <v>823446</v>
          </cell>
          <cell r="E19">
            <v>0</v>
          </cell>
          <cell r="F19">
            <v>823446</v>
          </cell>
          <cell r="G19">
            <v>0</v>
          </cell>
          <cell r="H19">
            <v>0</v>
          </cell>
          <cell r="I19">
            <v>0</v>
          </cell>
          <cell r="J19">
            <v>823446</v>
          </cell>
        </row>
        <row r="20">
          <cell r="A20" t="str">
            <v>1-1-10-02-006  BANCO INTERNACIONAL</v>
          </cell>
          <cell r="B20">
            <v>0</v>
          </cell>
          <cell r="C20">
            <v>1662562</v>
          </cell>
          <cell r="D20">
            <v>0</v>
          </cell>
          <cell r="E20">
            <v>1662562</v>
          </cell>
          <cell r="F20">
            <v>0</v>
          </cell>
          <cell r="G20">
            <v>1662562</v>
          </cell>
          <cell r="H20">
            <v>0</v>
          </cell>
          <cell r="I20">
            <v>0</v>
          </cell>
          <cell r="J20">
            <v>-1662562</v>
          </cell>
        </row>
        <row r="21">
          <cell r="A21" t="str">
            <v>1-1-10-02-007  BANCO BCI CHILE DOLARES</v>
          </cell>
          <cell r="B21">
            <v>21372671</v>
          </cell>
          <cell r="C21">
            <v>0</v>
          </cell>
          <cell r="D21">
            <v>21372671</v>
          </cell>
          <cell r="E21">
            <v>0</v>
          </cell>
          <cell r="F21">
            <v>21372671</v>
          </cell>
          <cell r="G21">
            <v>0</v>
          </cell>
          <cell r="H21">
            <v>0</v>
          </cell>
          <cell r="I21">
            <v>0</v>
          </cell>
          <cell r="J21">
            <v>21372671</v>
          </cell>
        </row>
        <row r="22">
          <cell r="A22" t="str">
            <v>1-1-20-01-003  ACCIONES CFINRENTAS BANCO SANTANDER</v>
          </cell>
          <cell r="B22">
            <v>59369266</v>
          </cell>
          <cell r="C22">
            <v>0</v>
          </cell>
          <cell r="D22">
            <v>59369266</v>
          </cell>
          <cell r="E22">
            <v>0</v>
          </cell>
          <cell r="F22">
            <v>59369266</v>
          </cell>
          <cell r="G22">
            <v>0</v>
          </cell>
          <cell r="H22">
            <v>0</v>
          </cell>
          <cell r="I22">
            <v>0</v>
          </cell>
          <cell r="J22">
            <v>59369266</v>
          </cell>
        </row>
        <row r="23">
          <cell r="A23" t="str">
            <v>1-1-20-01-006  FONDOS MUTUOS BCI PESOS</v>
          </cell>
          <cell r="B23">
            <v>605296</v>
          </cell>
          <cell r="C23">
            <v>0</v>
          </cell>
          <cell r="D23">
            <v>605296</v>
          </cell>
          <cell r="E23">
            <v>0</v>
          </cell>
          <cell r="F23">
            <v>605296</v>
          </cell>
          <cell r="G23">
            <v>0</v>
          </cell>
          <cell r="H23">
            <v>0</v>
          </cell>
          <cell r="I23">
            <v>0</v>
          </cell>
          <cell r="J23">
            <v>605296</v>
          </cell>
        </row>
        <row r="24">
          <cell r="A24" t="str">
            <v>1-1-20-04-004  INVERSIONES FI BTG PACTUAL RENTAS EN PESOS</v>
          </cell>
          <cell r="B24">
            <v>85297878</v>
          </cell>
          <cell r="C24">
            <v>0</v>
          </cell>
          <cell r="D24">
            <v>85297878</v>
          </cell>
          <cell r="E24">
            <v>0</v>
          </cell>
          <cell r="F24">
            <v>85297878</v>
          </cell>
          <cell r="G24">
            <v>0</v>
          </cell>
          <cell r="H24">
            <v>0</v>
          </cell>
          <cell r="I24">
            <v>0</v>
          </cell>
          <cell r="J24">
            <v>85297878</v>
          </cell>
        </row>
        <row r="25">
          <cell r="A25" t="str">
            <v>1-1-20-04-005  INVERSIONES BTG FONDO MINING EN DOLARES</v>
          </cell>
          <cell r="B25">
            <v>0</v>
          </cell>
          <cell r="C25">
            <v>19</v>
          </cell>
          <cell r="D25">
            <v>0</v>
          </cell>
          <cell r="E25">
            <v>19</v>
          </cell>
          <cell r="F25">
            <v>0</v>
          </cell>
          <cell r="G25">
            <v>19</v>
          </cell>
          <cell r="H25">
            <v>0</v>
          </cell>
          <cell r="I25">
            <v>0</v>
          </cell>
          <cell r="J25">
            <v>-19</v>
          </cell>
        </row>
        <row r="26">
          <cell r="A26" t="str">
            <v>1-1-20-04-006  BANCHILE CORREDORES DE BOLSA DOLARES</v>
          </cell>
          <cell r="B26">
            <v>0</v>
          </cell>
          <cell r="C26">
            <v>7913</v>
          </cell>
          <cell r="D26">
            <v>0</v>
          </cell>
          <cell r="E26">
            <v>7913</v>
          </cell>
          <cell r="F26">
            <v>0</v>
          </cell>
          <cell r="G26">
            <v>7913</v>
          </cell>
          <cell r="H26">
            <v>0</v>
          </cell>
          <cell r="I26">
            <v>0</v>
          </cell>
          <cell r="J26">
            <v>-7913</v>
          </cell>
        </row>
        <row r="27">
          <cell r="A27" t="str">
            <v>1-1-20-04-009  ACCIONES BCI CORREDOR BOLSA</v>
          </cell>
          <cell r="B27">
            <v>15841204</v>
          </cell>
          <cell r="C27">
            <v>0</v>
          </cell>
          <cell r="D27">
            <v>15841204</v>
          </cell>
          <cell r="E27">
            <v>0</v>
          </cell>
          <cell r="F27">
            <v>15841204</v>
          </cell>
          <cell r="G27">
            <v>0</v>
          </cell>
          <cell r="H27">
            <v>0</v>
          </cell>
          <cell r="I27">
            <v>0</v>
          </cell>
          <cell r="J27">
            <v>15841204</v>
          </cell>
        </row>
        <row r="28">
          <cell r="A28" t="str">
            <v>1-1-20-04-010  INVERSION  NEO-RENTAS ADM.</v>
          </cell>
          <cell r="B28">
            <v>0</v>
          </cell>
          <cell r="C28">
            <v>6862887</v>
          </cell>
          <cell r="D28">
            <v>0</v>
          </cell>
          <cell r="E28">
            <v>6862887</v>
          </cell>
          <cell r="F28">
            <v>0</v>
          </cell>
          <cell r="G28">
            <v>6862887</v>
          </cell>
          <cell r="H28">
            <v>0</v>
          </cell>
          <cell r="I28">
            <v>0</v>
          </cell>
          <cell r="J28">
            <v>-6862887</v>
          </cell>
        </row>
        <row r="29">
          <cell r="A29" t="str">
            <v>1-1-20-04-013  FONDO MUTUO BTG MONEY MARKET PESOS</v>
          </cell>
          <cell r="B29">
            <v>38</v>
          </cell>
          <cell r="C29">
            <v>0</v>
          </cell>
          <cell r="D29">
            <v>38</v>
          </cell>
          <cell r="E29">
            <v>0</v>
          </cell>
          <cell r="F29">
            <v>38</v>
          </cell>
          <cell r="G29">
            <v>0</v>
          </cell>
          <cell r="H29">
            <v>0</v>
          </cell>
          <cell r="I29">
            <v>0</v>
          </cell>
          <cell r="J29">
            <v>38</v>
          </cell>
        </row>
        <row r="30">
          <cell r="A30" t="str">
            <v>1-1-30-01-005  CLIENTES 2</v>
          </cell>
          <cell r="B30">
            <v>1310358122</v>
          </cell>
          <cell r="C30">
            <v>1354594764</v>
          </cell>
          <cell r="D30">
            <v>0</v>
          </cell>
          <cell r="E30">
            <v>44236642</v>
          </cell>
          <cell r="F30">
            <v>0</v>
          </cell>
          <cell r="G30">
            <v>44236642</v>
          </cell>
          <cell r="H30">
            <v>0</v>
          </cell>
          <cell r="I30">
            <v>0</v>
          </cell>
          <cell r="J30">
            <v>-44236642</v>
          </cell>
        </row>
        <row r="31">
          <cell r="A31" t="str">
            <v>1-1-40-01-010  CTA X COBRAR INV.PRIME CAPITAL INTERNACIONAL (EX SEGOVIA SA)</v>
          </cell>
          <cell r="B31">
            <v>0</v>
          </cell>
          <cell r="C31">
            <v>21504978</v>
          </cell>
          <cell r="D31">
            <v>0</v>
          </cell>
          <cell r="E31">
            <v>21504978</v>
          </cell>
          <cell r="F31">
            <v>0</v>
          </cell>
          <cell r="G31">
            <v>21504978</v>
          </cell>
          <cell r="H31">
            <v>0</v>
          </cell>
          <cell r="I31">
            <v>0</v>
          </cell>
          <cell r="J31">
            <v>-21504978</v>
          </cell>
        </row>
        <row r="32">
          <cell r="A32" t="str">
            <v>1-1-40-01-016  PRESTAMOS A OPERADORES</v>
          </cell>
          <cell r="B32">
            <v>0</v>
          </cell>
          <cell r="C32">
            <v>1000000</v>
          </cell>
          <cell r="D32">
            <v>0</v>
          </cell>
          <cell r="E32">
            <v>1000000</v>
          </cell>
          <cell r="F32">
            <v>0</v>
          </cell>
          <cell r="G32">
            <v>1000000</v>
          </cell>
          <cell r="H32">
            <v>0</v>
          </cell>
          <cell r="I32">
            <v>0</v>
          </cell>
          <cell r="J32">
            <v>-1000000</v>
          </cell>
        </row>
        <row r="33">
          <cell r="A33" t="str">
            <v>1-1-40-01-017  ANTICIPO PROVEEDOR 3</v>
          </cell>
          <cell r="B33">
            <v>223394484</v>
          </cell>
          <cell r="C33">
            <v>265869963</v>
          </cell>
          <cell r="D33">
            <v>0</v>
          </cell>
          <cell r="E33">
            <v>42475479</v>
          </cell>
          <cell r="F33">
            <v>0</v>
          </cell>
          <cell r="G33">
            <v>42475479</v>
          </cell>
          <cell r="H33">
            <v>0</v>
          </cell>
          <cell r="I33">
            <v>0</v>
          </cell>
          <cell r="J33">
            <v>-42475479</v>
          </cell>
        </row>
        <row r="34">
          <cell r="A34" t="str">
            <v>1-1-40-01-020  ANTICIPO SUELDO (2)</v>
          </cell>
          <cell r="B34">
            <v>5680000</v>
          </cell>
          <cell r="C34">
            <v>5680000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1-1-50-01-005  PAGARE POR COBRAR DOLE</v>
          </cell>
          <cell r="B35">
            <v>0</v>
          </cell>
          <cell r="C35">
            <v>4780941</v>
          </cell>
          <cell r="D35">
            <v>0</v>
          </cell>
          <cell r="E35">
            <v>4780941</v>
          </cell>
          <cell r="F35">
            <v>0</v>
          </cell>
          <cell r="G35">
            <v>4780941</v>
          </cell>
          <cell r="H35">
            <v>0</v>
          </cell>
          <cell r="I35">
            <v>0</v>
          </cell>
          <cell r="J35">
            <v>-4780941</v>
          </cell>
        </row>
        <row r="36">
          <cell r="A36" t="str">
            <v>1-1-50-01-007  PAGARES POR COBRAR INMOBILIARIA CUATRO</v>
          </cell>
          <cell r="B36">
            <v>0</v>
          </cell>
          <cell r="C36">
            <v>7183051</v>
          </cell>
          <cell r="D36">
            <v>0</v>
          </cell>
          <cell r="E36">
            <v>7183051</v>
          </cell>
          <cell r="F36">
            <v>0</v>
          </cell>
          <cell r="G36">
            <v>7183051</v>
          </cell>
          <cell r="H36">
            <v>0</v>
          </cell>
          <cell r="I36">
            <v>0</v>
          </cell>
          <cell r="J36">
            <v>-7183051</v>
          </cell>
        </row>
        <row r="37">
          <cell r="A37" t="str">
            <v>1-1-70-01-001  IVA CREDITO FISCAL</v>
          </cell>
          <cell r="B37">
            <v>108275414</v>
          </cell>
          <cell r="C37">
            <v>108275414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A38" t="str">
            <v>1-1-70-01-020  REMANENTE CR FISCAL</v>
          </cell>
          <cell r="B38">
            <v>502988</v>
          </cell>
          <cell r="C38">
            <v>57186964</v>
          </cell>
          <cell r="D38">
            <v>0</v>
          </cell>
          <cell r="E38">
            <v>56683976</v>
          </cell>
          <cell r="F38">
            <v>0</v>
          </cell>
          <cell r="G38">
            <v>56683976</v>
          </cell>
          <cell r="H38">
            <v>0</v>
          </cell>
          <cell r="I38">
            <v>0</v>
          </cell>
          <cell r="J38">
            <v>-56683976</v>
          </cell>
        </row>
        <row r="39">
          <cell r="A39" t="str">
            <v>1-2-01-09-001  PROYECTOS</v>
          </cell>
          <cell r="B39">
            <v>1939502</v>
          </cell>
          <cell r="C39">
            <v>0</v>
          </cell>
          <cell r="D39">
            <v>1939502</v>
          </cell>
          <cell r="E39">
            <v>0</v>
          </cell>
          <cell r="F39">
            <v>1939502</v>
          </cell>
          <cell r="G39">
            <v>0</v>
          </cell>
          <cell r="H39">
            <v>0</v>
          </cell>
          <cell r="I39">
            <v>0</v>
          </cell>
          <cell r="J39">
            <v>1939502</v>
          </cell>
        </row>
        <row r="40">
          <cell r="A40" t="str">
            <v>1-3-01-02-003  BOLETA GARANTIAS LOCATARIOS (ORDEN)</v>
          </cell>
          <cell r="B40">
            <v>73281089</v>
          </cell>
          <cell r="C40">
            <v>65258133</v>
          </cell>
          <cell r="D40">
            <v>8022956</v>
          </cell>
          <cell r="E40">
            <v>0</v>
          </cell>
          <cell r="F40">
            <v>8022956</v>
          </cell>
          <cell r="G40">
            <v>0</v>
          </cell>
          <cell r="H40">
            <v>0</v>
          </cell>
          <cell r="I40">
            <v>0</v>
          </cell>
          <cell r="J40">
            <v>8022956</v>
          </cell>
        </row>
        <row r="41">
          <cell r="A41" t="str">
            <v>2-1-01-01-010  USO LINEA CRÉDITO BANCO SANTANDER</v>
          </cell>
          <cell r="B41">
            <v>827897242</v>
          </cell>
          <cell r="C41">
            <v>756021343</v>
          </cell>
          <cell r="D41">
            <v>71875899</v>
          </cell>
          <cell r="E41">
            <v>0</v>
          </cell>
          <cell r="F41">
            <v>71875899</v>
          </cell>
          <cell r="G41">
            <v>0</v>
          </cell>
          <cell r="H41">
            <v>0</v>
          </cell>
          <cell r="I41">
            <v>0</v>
          </cell>
          <cell r="J41">
            <v>-71875899</v>
          </cell>
        </row>
        <row r="42">
          <cell r="A42" t="str">
            <v>2-1-01-01-011  USO LINEA CREDITO BANCO BCI</v>
          </cell>
          <cell r="B42">
            <v>84519904</v>
          </cell>
          <cell r="C42">
            <v>79600678</v>
          </cell>
          <cell r="D42">
            <v>4919226</v>
          </cell>
          <cell r="E42">
            <v>0</v>
          </cell>
          <cell r="F42">
            <v>4919226</v>
          </cell>
          <cell r="G42">
            <v>0</v>
          </cell>
          <cell r="H42">
            <v>0</v>
          </cell>
          <cell r="I42">
            <v>0</v>
          </cell>
          <cell r="J42">
            <v>-4919226</v>
          </cell>
        </row>
        <row r="43">
          <cell r="A43" t="str">
            <v>2-1-01-02-001  OBLIG. LEASING 1 SUR 1990 C/PLAZO</v>
          </cell>
          <cell r="B43">
            <v>7823300</v>
          </cell>
          <cell r="C43">
            <v>0</v>
          </cell>
          <cell r="D43">
            <v>7823300</v>
          </cell>
          <cell r="E43">
            <v>0</v>
          </cell>
          <cell r="F43">
            <v>7823300</v>
          </cell>
          <cell r="G43">
            <v>0</v>
          </cell>
          <cell r="H43">
            <v>0</v>
          </cell>
          <cell r="I43">
            <v>0</v>
          </cell>
          <cell r="J43">
            <v>-7823300</v>
          </cell>
        </row>
        <row r="44">
          <cell r="A44" t="str">
            <v>2-1-01-02-002  OBLIG. LEASING SAN JAVIER C/PLAZO</v>
          </cell>
          <cell r="B44">
            <v>6726751</v>
          </cell>
          <cell r="C44">
            <v>0</v>
          </cell>
          <cell r="D44">
            <v>6726751</v>
          </cell>
          <cell r="E44">
            <v>0</v>
          </cell>
          <cell r="F44">
            <v>6726751</v>
          </cell>
          <cell r="G44">
            <v>0</v>
          </cell>
          <cell r="H44">
            <v>0</v>
          </cell>
          <cell r="I44">
            <v>0</v>
          </cell>
          <cell r="J44">
            <v>-6726751</v>
          </cell>
        </row>
        <row r="45">
          <cell r="A45" t="str">
            <v>2-1-01-02-003  OBLIG. LEASING COLIN 0240 TALCA</v>
          </cell>
          <cell r="B45">
            <v>12660701</v>
          </cell>
          <cell r="C45">
            <v>0</v>
          </cell>
          <cell r="D45">
            <v>12660701</v>
          </cell>
          <cell r="E45">
            <v>0</v>
          </cell>
          <cell r="F45">
            <v>12660701</v>
          </cell>
          <cell r="G45">
            <v>0</v>
          </cell>
          <cell r="H45">
            <v>0</v>
          </cell>
          <cell r="I45">
            <v>0</v>
          </cell>
          <cell r="J45">
            <v>-12660701</v>
          </cell>
        </row>
        <row r="46">
          <cell r="A46" t="str">
            <v>2-1-01-02-004  OBLIG. LEASING C. SATELITE C/PLAZO</v>
          </cell>
          <cell r="B46">
            <v>18613487</v>
          </cell>
          <cell r="C46">
            <v>0</v>
          </cell>
          <cell r="D46">
            <v>18613487</v>
          </cell>
          <cell r="E46">
            <v>0</v>
          </cell>
          <cell r="F46">
            <v>18613487</v>
          </cell>
          <cell r="G46">
            <v>0</v>
          </cell>
          <cell r="H46">
            <v>0</v>
          </cell>
          <cell r="I46">
            <v>0</v>
          </cell>
          <cell r="J46">
            <v>-18613487</v>
          </cell>
        </row>
        <row r="47">
          <cell r="A47" t="str">
            <v>2-1-01-02-005  OBLIG. LEASING 11 ORIENTE C/PLAZO</v>
          </cell>
          <cell r="B47">
            <v>6611844</v>
          </cell>
          <cell r="C47">
            <v>0</v>
          </cell>
          <cell r="D47">
            <v>6611844</v>
          </cell>
          <cell r="E47">
            <v>0</v>
          </cell>
          <cell r="F47">
            <v>6611844</v>
          </cell>
          <cell r="G47">
            <v>0</v>
          </cell>
          <cell r="H47">
            <v>0</v>
          </cell>
          <cell r="I47">
            <v>0</v>
          </cell>
          <cell r="J47">
            <v>-6611844</v>
          </cell>
        </row>
        <row r="48">
          <cell r="A48" t="str">
            <v>2-1-01-02-006  OBLIG. LEASING MAIPU 556 C/PLAZO</v>
          </cell>
          <cell r="B48">
            <v>5851688</v>
          </cell>
          <cell r="C48">
            <v>0</v>
          </cell>
          <cell r="D48">
            <v>5851688</v>
          </cell>
          <cell r="E48">
            <v>0</v>
          </cell>
          <cell r="F48">
            <v>5851688</v>
          </cell>
          <cell r="G48">
            <v>0</v>
          </cell>
          <cell r="H48">
            <v>0</v>
          </cell>
          <cell r="I48">
            <v>0</v>
          </cell>
          <cell r="J48">
            <v>-5851688</v>
          </cell>
        </row>
        <row r="49">
          <cell r="A49" t="str">
            <v>2-1-01-02-007  OBLIG. LEASING BRASIL 648 C/PLAZO</v>
          </cell>
          <cell r="B49">
            <v>4486294</v>
          </cell>
          <cell r="C49">
            <v>0</v>
          </cell>
          <cell r="D49">
            <v>4486294</v>
          </cell>
          <cell r="E49">
            <v>0</v>
          </cell>
          <cell r="F49">
            <v>4486294</v>
          </cell>
          <cell r="G49">
            <v>0</v>
          </cell>
          <cell r="H49">
            <v>0</v>
          </cell>
          <cell r="I49">
            <v>0</v>
          </cell>
          <cell r="J49">
            <v>-4486294</v>
          </cell>
        </row>
        <row r="50">
          <cell r="A50" t="str">
            <v>2-1-01-02-008  OBLIG. LEASING VIAL 224 C/PLAZO</v>
          </cell>
          <cell r="B50">
            <v>5364047</v>
          </cell>
          <cell r="C50">
            <v>0</v>
          </cell>
          <cell r="D50">
            <v>5364047</v>
          </cell>
          <cell r="E50">
            <v>0</v>
          </cell>
          <cell r="F50">
            <v>5364047</v>
          </cell>
          <cell r="G50">
            <v>0</v>
          </cell>
          <cell r="H50">
            <v>0</v>
          </cell>
          <cell r="I50">
            <v>0</v>
          </cell>
          <cell r="J50">
            <v>-5364047</v>
          </cell>
        </row>
        <row r="51">
          <cell r="A51" t="str">
            <v>2-1-01-02-009  OBLIG. LEASING TALCA COLIN C/PLAZO</v>
          </cell>
          <cell r="B51">
            <v>48533762</v>
          </cell>
          <cell r="C51">
            <v>0</v>
          </cell>
          <cell r="D51">
            <v>48533762</v>
          </cell>
          <cell r="E51">
            <v>0</v>
          </cell>
          <cell r="F51">
            <v>48533762</v>
          </cell>
          <cell r="G51">
            <v>0</v>
          </cell>
          <cell r="H51">
            <v>0</v>
          </cell>
          <cell r="I51">
            <v>0</v>
          </cell>
          <cell r="J51">
            <v>-48533762</v>
          </cell>
        </row>
        <row r="52">
          <cell r="A52" t="str">
            <v>2-1-01-02-010  OBLIG. HIPOTECARIO C/PLAZO</v>
          </cell>
          <cell r="B52">
            <v>14796870</v>
          </cell>
          <cell r="C52">
            <v>0</v>
          </cell>
          <cell r="D52">
            <v>14796870</v>
          </cell>
          <cell r="E52">
            <v>0</v>
          </cell>
          <cell r="F52">
            <v>14796870</v>
          </cell>
          <cell r="G52">
            <v>0</v>
          </cell>
          <cell r="H52">
            <v>0</v>
          </cell>
          <cell r="I52">
            <v>0</v>
          </cell>
          <cell r="J52">
            <v>-14796870</v>
          </cell>
        </row>
        <row r="53">
          <cell r="A53" t="str">
            <v>2-1-01-02-011  OBLIG.LEASING VALPO  C/P</v>
          </cell>
          <cell r="B53">
            <v>24218080</v>
          </cell>
          <cell r="C53">
            <v>0</v>
          </cell>
          <cell r="D53">
            <v>24218080</v>
          </cell>
          <cell r="E53">
            <v>0</v>
          </cell>
          <cell r="F53">
            <v>24218080</v>
          </cell>
          <cell r="G53">
            <v>0</v>
          </cell>
          <cell r="H53">
            <v>0</v>
          </cell>
          <cell r="I53">
            <v>0</v>
          </cell>
          <cell r="J53">
            <v>-24218080</v>
          </cell>
        </row>
        <row r="54">
          <cell r="A54" t="str">
            <v>2-1-01-02-012  OBLIG.LEASING CAUQUENES C/P</v>
          </cell>
          <cell r="B54">
            <v>9083344</v>
          </cell>
          <cell r="C54">
            <v>0</v>
          </cell>
          <cell r="D54">
            <v>9083344</v>
          </cell>
          <cell r="E54">
            <v>0</v>
          </cell>
          <cell r="F54">
            <v>9083344</v>
          </cell>
          <cell r="G54">
            <v>0</v>
          </cell>
          <cell r="H54">
            <v>0</v>
          </cell>
          <cell r="I54">
            <v>0</v>
          </cell>
          <cell r="J54">
            <v>-9083344</v>
          </cell>
        </row>
        <row r="55">
          <cell r="A55" t="str">
            <v>2-1-01-02-013  OBLIG. LEASING OUTLET C/P</v>
          </cell>
          <cell r="B55">
            <v>66891286</v>
          </cell>
          <cell r="C55">
            <v>0</v>
          </cell>
          <cell r="D55">
            <v>66891286</v>
          </cell>
          <cell r="E55">
            <v>0</v>
          </cell>
          <cell r="F55">
            <v>66891286</v>
          </cell>
          <cell r="G55">
            <v>0</v>
          </cell>
          <cell r="H55">
            <v>0</v>
          </cell>
          <cell r="I55">
            <v>0</v>
          </cell>
          <cell r="J55">
            <v>-66891286</v>
          </cell>
        </row>
        <row r="56">
          <cell r="A56" t="str">
            <v>2-1-01-02-014  OBLIG HIPOTECARIO LOS MORRO CP</v>
          </cell>
          <cell r="B56">
            <v>34676017</v>
          </cell>
          <cell r="C56">
            <v>0</v>
          </cell>
          <cell r="D56">
            <v>34676017</v>
          </cell>
          <cell r="E56">
            <v>0</v>
          </cell>
          <cell r="F56">
            <v>34676017</v>
          </cell>
          <cell r="G56">
            <v>0</v>
          </cell>
          <cell r="H56">
            <v>0</v>
          </cell>
          <cell r="I56">
            <v>0</v>
          </cell>
          <cell r="J56">
            <v>-34676017</v>
          </cell>
        </row>
        <row r="57">
          <cell r="A57" t="str">
            <v>2-1-01-03-002  OBLIG LEASING VEHICULOS  CP 2</v>
          </cell>
          <cell r="B57">
            <v>3517507</v>
          </cell>
          <cell r="C57">
            <v>0</v>
          </cell>
          <cell r="D57">
            <v>3517507</v>
          </cell>
          <cell r="E57">
            <v>0</v>
          </cell>
          <cell r="F57">
            <v>3517507</v>
          </cell>
          <cell r="G57">
            <v>0</v>
          </cell>
          <cell r="H57">
            <v>0</v>
          </cell>
          <cell r="I57">
            <v>0</v>
          </cell>
          <cell r="J57">
            <v>-3517507</v>
          </cell>
        </row>
        <row r="58">
          <cell r="A58" t="str">
            <v>2-1-02-01-005  MUTUOS POR PAGAR</v>
          </cell>
          <cell r="B58">
            <v>114597839</v>
          </cell>
          <cell r="C58">
            <v>0</v>
          </cell>
          <cell r="D58">
            <v>114597839</v>
          </cell>
          <cell r="E58">
            <v>0</v>
          </cell>
          <cell r="F58">
            <v>114597839</v>
          </cell>
          <cell r="G58">
            <v>0</v>
          </cell>
          <cell r="H58">
            <v>0</v>
          </cell>
          <cell r="I58">
            <v>0</v>
          </cell>
          <cell r="J58">
            <v>-114597839</v>
          </cell>
        </row>
        <row r="59">
          <cell r="A59" t="str">
            <v>2-1-02-01-008  REMUNERACIONES POR PAGAR (2)</v>
          </cell>
          <cell r="B59">
            <v>81036829</v>
          </cell>
          <cell r="C59">
            <v>81036829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</row>
        <row r="60">
          <cell r="A60" t="str">
            <v>2-1-03-01-001  GARANTIAS RECIBIDAS ARRENDATARIOS (CLP)</v>
          </cell>
          <cell r="B60">
            <v>28435</v>
          </cell>
          <cell r="C60">
            <v>178083</v>
          </cell>
          <cell r="D60">
            <v>0</v>
          </cell>
          <cell r="E60">
            <v>149648</v>
          </cell>
          <cell r="F60">
            <v>0</v>
          </cell>
          <cell r="G60">
            <v>149648</v>
          </cell>
          <cell r="H60">
            <v>0</v>
          </cell>
          <cell r="I60">
            <v>0</v>
          </cell>
          <cell r="J60">
            <v>149648</v>
          </cell>
        </row>
        <row r="61">
          <cell r="A61" t="str">
            <v>2-1-03-01-002  GARANTIAS RECIBIDAS ARRENDATARIOS (UF)</v>
          </cell>
          <cell r="B61">
            <v>196735977</v>
          </cell>
          <cell r="C61">
            <v>197308307</v>
          </cell>
          <cell r="D61">
            <v>0</v>
          </cell>
          <cell r="E61">
            <v>572330</v>
          </cell>
          <cell r="F61">
            <v>0</v>
          </cell>
          <cell r="G61">
            <v>572330</v>
          </cell>
          <cell r="H61">
            <v>0</v>
          </cell>
          <cell r="I61">
            <v>0</v>
          </cell>
          <cell r="J61">
            <v>572330</v>
          </cell>
        </row>
        <row r="62">
          <cell r="A62" t="str">
            <v>2-1-03-01-009  BOLETA GARANTIAS LOCATARIOS (ORDEN)</v>
          </cell>
          <cell r="B62">
            <v>65258133</v>
          </cell>
          <cell r="C62">
            <v>73281089</v>
          </cell>
          <cell r="D62">
            <v>0</v>
          </cell>
          <cell r="E62">
            <v>8022956</v>
          </cell>
          <cell r="F62">
            <v>0</v>
          </cell>
          <cell r="G62">
            <v>8022956</v>
          </cell>
          <cell r="H62">
            <v>0</v>
          </cell>
          <cell r="I62">
            <v>0</v>
          </cell>
          <cell r="J62">
            <v>8022956</v>
          </cell>
        </row>
        <row r="63">
          <cell r="A63" t="str">
            <v>2-1-03-02-001  ANTICIPO DE CLIENTES</v>
          </cell>
          <cell r="B63">
            <v>8592674</v>
          </cell>
          <cell r="C63">
            <v>1657884</v>
          </cell>
          <cell r="D63">
            <v>6934790</v>
          </cell>
          <cell r="E63">
            <v>0</v>
          </cell>
          <cell r="F63">
            <v>6934790</v>
          </cell>
          <cell r="G63">
            <v>0</v>
          </cell>
          <cell r="H63">
            <v>0</v>
          </cell>
          <cell r="I63">
            <v>0</v>
          </cell>
          <cell r="J63">
            <v>-6934790</v>
          </cell>
        </row>
        <row r="64">
          <cell r="A64" t="str">
            <v>2-1-04-01-001  IVA DEBITO FISCAL</v>
          </cell>
          <cell r="B64">
            <v>158670697</v>
          </cell>
          <cell r="C64">
            <v>158670697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2-1-04-01-002  IMPUESTO UNICO</v>
          </cell>
          <cell r="B65">
            <v>24080223</v>
          </cell>
          <cell r="C65">
            <v>24195375</v>
          </cell>
          <cell r="D65">
            <v>0</v>
          </cell>
          <cell r="E65">
            <v>115152</v>
          </cell>
          <cell r="F65">
            <v>0</v>
          </cell>
          <cell r="G65">
            <v>115152</v>
          </cell>
          <cell r="H65">
            <v>0</v>
          </cell>
          <cell r="I65">
            <v>0</v>
          </cell>
          <cell r="J65">
            <v>115152</v>
          </cell>
        </row>
        <row r="66">
          <cell r="A66" t="str">
            <v>2-1-04-01-003  IMPUESTO 2° CATEGORIA</v>
          </cell>
          <cell r="B66">
            <v>2405512</v>
          </cell>
          <cell r="C66">
            <v>2864631</v>
          </cell>
          <cell r="D66">
            <v>0</v>
          </cell>
          <cell r="E66">
            <v>459119</v>
          </cell>
          <cell r="F66">
            <v>0</v>
          </cell>
          <cell r="G66">
            <v>459119</v>
          </cell>
          <cell r="H66">
            <v>0</v>
          </cell>
          <cell r="I66">
            <v>0</v>
          </cell>
          <cell r="J66">
            <v>459119</v>
          </cell>
        </row>
        <row r="67">
          <cell r="A67" t="str">
            <v>2-1-04-01-005  IMPOSICIONES POR PAGAR</v>
          </cell>
          <cell r="B67">
            <v>10229899</v>
          </cell>
          <cell r="C67">
            <v>11589703</v>
          </cell>
          <cell r="D67">
            <v>0</v>
          </cell>
          <cell r="E67">
            <v>1359804</v>
          </cell>
          <cell r="F67">
            <v>0</v>
          </cell>
          <cell r="G67">
            <v>1359804</v>
          </cell>
          <cell r="H67">
            <v>0</v>
          </cell>
          <cell r="I67">
            <v>0</v>
          </cell>
          <cell r="J67">
            <v>1359804</v>
          </cell>
        </row>
        <row r="68">
          <cell r="A68" t="str">
            <v>2-1-06-01-001  PROVEEDORES 2</v>
          </cell>
          <cell r="B68">
            <v>1267201285</v>
          </cell>
          <cell r="C68">
            <v>1148934868</v>
          </cell>
          <cell r="D68">
            <v>118266417</v>
          </cell>
          <cell r="E68">
            <v>0</v>
          </cell>
          <cell r="F68">
            <v>118266417</v>
          </cell>
          <cell r="G68">
            <v>0</v>
          </cell>
          <cell r="H68">
            <v>0</v>
          </cell>
          <cell r="I68">
            <v>0</v>
          </cell>
          <cell r="J68">
            <v>-118266417</v>
          </cell>
        </row>
        <row r="69">
          <cell r="A69" t="str">
            <v>2-1-06-01-002  HONORARIOS POR PAGAR 2</v>
          </cell>
          <cell r="B69">
            <v>15971599</v>
          </cell>
          <cell r="C69">
            <v>18214845</v>
          </cell>
          <cell r="D69">
            <v>0</v>
          </cell>
          <cell r="E69">
            <v>2243246</v>
          </cell>
          <cell r="F69">
            <v>0</v>
          </cell>
          <cell r="G69">
            <v>2243246</v>
          </cell>
          <cell r="H69">
            <v>0</v>
          </cell>
          <cell r="I69">
            <v>0</v>
          </cell>
          <cell r="J69">
            <v>2243246</v>
          </cell>
        </row>
        <row r="70">
          <cell r="A70" t="str">
            <v>2-1-06-01-006  CHEQUES GIRADOS POR PAGAR 2</v>
          </cell>
          <cell r="B70">
            <v>2590185</v>
          </cell>
          <cell r="C70">
            <v>0</v>
          </cell>
          <cell r="D70">
            <v>2590185</v>
          </cell>
          <cell r="E70">
            <v>0</v>
          </cell>
          <cell r="F70">
            <v>2590185</v>
          </cell>
          <cell r="G70">
            <v>0</v>
          </cell>
          <cell r="H70">
            <v>0</v>
          </cell>
          <cell r="I70">
            <v>0</v>
          </cell>
          <cell r="J70">
            <v>-2590185</v>
          </cell>
        </row>
        <row r="71">
          <cell r="A71" t="str">
            <v>2-1-06-01-007  SEGURO SALUD COMPLEMENTARIO</v>
          </cell>
          <cell r="B71">
            <v>293920</v>
          </cell>
          <cell r="C71">
            <v>293920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4-1-01-01-001  ARRIENDO FIJO</v>
          </cell>
          <cell r="B72">
            <v>19305395</v>
          </cell>
          <cell r="C72">
            <v>814350017</v>
          </cell>
          <cell r="D72">
            <v>0</v>
          </cell>
          <cell r="E72">
            <v>795044622</v>
          </cell>
          <cell r="F72">
            <v>0</v>
          </cell>
          <cell r="G72">
            <v>0</v>
          </cell>
          <cell r="H72">
            <v>0</v>
          </cell>
          <cell r="I72">
            <v>795044622</v>
          </cell>
          <cell r="J72">
            <v>795044622</v>
          </cell>
        </row>
        <row r="73">
          <cell r="A73" t="str">
            <v>4-1-01-01-002  ARRIENDO VARIABLE</v>
          </cell>
          <cell r="B73">
            <v>42055</v>
          </cell>
          <cell r="C73">
            <v>112197133</v>
          </cell>
          <cell r="D73">
            <v>0</v>
          </cell>
          <cell r="E73">
            <v>112155078</v>
          </cell>
          <cell r="F73">
            <v>0</v>
          </cell>
          <cell r="G73">
            <v>0</v>
          </cell>
          <cell r="H73">
            <v>0</v>
          </cell>
          <cell r="I73">
            <v>112155078</v>
          </cell>
          <cell r="J73">
            <v>112155078</v>
          </cell>
        </row>
        <row r="74">
          <cell r="A74" t="str">
            <v>4-1-01-01-005  CONSUMOS DE AGUAS</v>
          </cell>
          <cell r="B74">
            <v>0</v>
          </cell>
          <cell r="C74">
            <v>7207264</v>
          </cell>
          <cell r="D74">
            <v>0</v>
          </cell>
          <cell r="E74">
            <v>7207264</v>
          </cell>
          <cell r="F74">
            <v>0</v>
          </cell>
          <cell r="G74">
            <v>0</v>
          </cell>
          <cell r="H74">
            <v>0</v>
          </cell>
          <cell r="I74">
            <v>7207264</v>
          </cell>
          <cell r="J74">
            <v>7207264</v>
          </cell>
        </row>
        <row r="75">
          <cell r="A75" t="str">
            <v>4-1-01-01-006  CONSUMOS DE LUZ</v>
          </cell>
          <cell r="B75">
            <v>0</v>
          </cell>
          <cell r="C75">
            <v>112319932</v>
          </cell>
          <cell r="D75">
            <v>0</v>
          </cell>
          <cell r="E75">
            <v>112319932</v>
          </cell>
          <cell r="F75">
            <v>0</v>
          </cell>
          <cell r="G75">
            <v>0</v>
          </cell>
          <cell r="H75">
            <v>0</v>
          </cell>
          <cell r="I75">
            <v>112319932</v>
          </cell>
          <cell r="J75">
            <v>112319932</v>
          </cell>
        </row>
        <row r="76">
          <cell r="A76" t="str">
            <v>4-1-01-01-007  CONSUMOS DE GAS</v>
          </cell>
          <cell r="B76">
            <v>0</v>
          </cell>
          <cell r="C76">
            <v>2402897</v>
          </cell>
          <cell r="D76">
            <v>0</v>
          </cell>
          <cell r="E76">
            <v>2402897</v>
          </cell>
          <cell r="F76">
            <v>0</v>
          </cell>
          <cell r="G76">
            <v>0</v>
          </cell>
          <cell r="H76">
            <v>0</v>
          </cell>
          <cell r="I76">
            <v>2402897</v>
          </cell>
          <cell r="J76">
            <v>2402897</v>
          </cell>
        </row>
        <row r="77">
          <cell r="A77" t="str">
            <v>4-1-01-01-008  GASTOS COMUNES</v>
          </cell>
          <cell r="B77">
            <v>5202179</v>
          </cell>
          <cell r="C77">
            <v>83416101</v>
          </cell>
          <cell r="D77">
            <v>0</v>
          </cell>
          <cell r="E77">
            <v>78213922</v>
          </cell>
          <cell r="F77">
            <v>0</v>
          </cell>
          <cell r="G77">
            <v>0</v>
          </cell>
          <cell r="H77">
            <v>0</v>
          </cell>
          <cell r="I77">
            <v>78213922</v>
          </cell>
          <cell r="J77">
            <v>78213922</v>
          </cell>
        </row>
        <row r="78">
          <cell r="A78" t="str">
            <v>4-1-01-01-013  VARIOS</v>
          </cell>
          <cell r="B78">
            <v>0</v>
          </cell>
          <cell r="C78">
            <v>34500</v>
          </cell>
          <cell r="D78">
            <v>0</v>
          </cell>
          <cell r="E78">
            <v>34500</v>
          </cell>
          <cell r="F78">
            <v>0</v>
          </cell>
          <cell r="G78">
            <v>0</v>
          </cell>
          <cell r="H78">
            <v>0</v>
          </cell>
          <cell r="I78">
            <v>34500</v>
          </cell>
          <cell r="J78">
            <v>34500</v>
          </cell>
        </row>
        <row r="79">
          <cell r="A79" t="str">
            <v>4-2-01-01-003  DIVIDENDOS RIACHUELO</v>
          </cell>
          <cell r="B79">
            <v>0</v>
          </cell>
          <cell r="C79">
            <v>10000000</v>
          </cell>
          <cell r="D79">
            <v>0</v>
          </cell>
          <cell r="E79">
            <v>10000000</v>
          </cell>
          <cell r="F79">
            <v>0</v>
          </cell>
          <cell r="G79">
            <v>0</v>
          </cell>
          <cell r="H79">
            <v>0</v>
          </cell>
          <cell r="I79">
            <v>10000000</v>
          </cell>
          <cell r="J79">
            <v>10000000</v>
          </cell>
        </row>
        <row r="80">
          <cell r="A80" t="str">
            <v>4-2-01-01-005  INTERESES DE PAGARE</v>
          </cell>
          <cell r="B80">
            <v>0</v>
          </cell>
          <cell r="C80">
            <v>866813</v>
          </cell>
          <cell r="D80">
            <v>0</v>
          </cell>
          <cell r="E80">
            <v>866813</v>
          </cell>
          <cell r="F80">
            <v>0</v>
          </cell>
          <cell r="G80">
            <v>0</v>
          </cell>
          <cell r="H80">
            <v>0</v>
          </cell>
          <cell r="I80">
            <v>866813</v>
          </cell>
          <cell r="J80">
            <v>866813</v>
          </cell>
        </row>
        <row r="81">
          <cell r="A81" t="str">
            <v>4-2-01-01-013  DIVIDENDOS BESALCO</v>
          </cell>
          <cell r="B81">
            <v>0</v>
          </cell>
          <cell r="C81">
            <v>2050000</v>
          </cell>
          <cell r="D81">
            <v>0</v>
          </cell>
          <cell r="E81">
            <v>2050000</v>
          </cell>
          <cell r="F81">
            <v>0</v>
          </cell>
          <cell r="G81">
            <v>0</v>
          </cell>
          <cell r="H81">
            <v>0</v>
          </cell>
          <cell r="I81">
            <v>2050000</v>
          </cell>
          <cell r="J81">
            <v>2050000</v>
          </cell>
        </row>
        <row r="82">
          <cell r="A82" t="str">
            <v>4-2-01-02-008  ARQUITEC Y HABILITACION  LOCALES</v>
          </cell>
          <cell r="B82">
            <v>1990550</v>
          </cell>
          <cell r="C82">
            <v>1570678</v>
          </cell>
          <cell r="D82">
            <v>419872</v>
          </cell>
          <cell r="E82">
            <v>0</v>
          </cell>
          <cell r="F82">
            <v>0</v>
          </cell>
          <cell r="G82">
            <v>0</v>
          </cell>
          <cell r="H82">
            <v>419872</v>
          </cell>
          <cell r="I82">
            <v>0</v>
          </cell>
          <cell r="J82">
            <v>-419872</v>
          </cell>
        </row>
        <row r="83">
          <cell r="A83" t="str">
            <v>5-1-01-01-001  SERVICIOS DE GUARDIAS</v>
          </cell>
          <cell r="B83">
            <v>65030336</v>
          </cell>
          <cell r="C83">
            <v>0</v>
          </cell>
          <cell r="D83">
            <v>65030336</v>
          </cell>
          <cell r="E83">
            <v>0</v>
          </cell>
          <cell r="F83">
            <v>0</v>
          </cell>
          <cell r="G83">
            <v>0</v>
          </cell>
          <cell r="H83">
            <v>65030336</v>
          </cell>
          <cell r="I83">
            <v>0</v>
          </cell>
          <cell r="J83">
            <v>-65030336</v>
          </cell>
        </row>
        <row r="84">
          <cell r="A84" t="str">
            <v>5-1-01-01-005  ARTICULOS DE SEGURIDAD</v>
          </cell>
          <cell r="B84">
            <v>87528</v>
          </cell>
          <cell r="C84">
            <v>0</v>
          </cell>
          <cell r="D84">
            <v>87528</v>
          </cell>
          <cell r="E84">
            <v>0</v>
          </cell>
          <cell r="F84">
            <v>0</v>
          </cell>
          <cell r="G84">
            <v>0</v>
          </cell>
          <cell r="H84">
            <v>87528</v>
          </cell>
          <cell r="I84">
            <v>0</v>
          </cell>
          <cell r="J84">
            <v>-87528</v>
          </cell>
        </row>
        <row r="85">
          <cell r="A85" t="str">
            <v>5-1-01-02-002  INSUMOS BANOS</v>
          </cell>
          <cell r="B85">
            <v>1028154</v>
          </cell>
          <cell r="C85">
            <v>0</v>
          </cell>
          <cell r="D85">
            <v>1028154</v>
          </cell>
          <cell r="E85">
            <v>0</v>
          </cell>
          <cell r="F85">
            <v>0</v>
          </cell>
          <cell r="G85">
            <v>0</v>
          </cell>
          <cell r="H85">
            <v>1028154</v>
          </cell>
          <cell r="I85">
            <v>0</v>
          </cell>
          <cell r="J85">
            <v>-1028154</v>
          </cell>
        </row>
        <row r="86">
          <cell r="A86" t="str">
            <v>5-1-01-02-003  RETIRO BASURA O ESCOMBROS</v>
          </cell>
          <cell r="B86">
            <v>2102350</v>
          </cell>
          <cell r="C86">
            <v>0</v>
          </cell>
          <cell r="D86">
            <v>2102350</v>
          </cell>
          <cell r="E86">
            <v>0</v>
          </cell>
          <cell r="F86">
            <v>0</v>
          </cell>
          <cell r="G86">
            <v>0</v>
          </cell>
          <cell r="H86">
            <v>2102350</v>
          </cell>
          <cell r="I86">
            <v>0</v>
          </cell>
          <cell r="J86">
            <v>-2102350</v>
          </cell>
        </row>
        <row r="87">
          <cell r="A87" t="str">
            <v>5-1-01-02-006  ARTIUCLOS DE ASEO</v>
          </cell>
          <cell r="B87">
            <v>13731</v>
          </cell>
          <cell r="C87">
            <v>0</v>
          </cell>
          <cell r="D87">
            <v>13731</v>
          </cell>
          <cell r="E87">
            <v>0</v>
          </cell>
          <cell r="F87">
            <v>0</v>
          </cell>
          <cell r="G87">
            <v>0</v>
          </cell>
          <cell r="H87">
            <v>13731</v>
          </cell>
          <cell r="I87">
            <v>0</v>
          </cell>
          <cell r="J87">
            <v>-13731</v>
          </cell>
        </row>
        <row r="88">
          <cell r="A88" t="str">
            <v>5-1-01-03-001  SERVICIOS DE JARDINES Y PAISAJISMO</v>
          </cell>
          <cell r="B88">
            <v>6261430</v>
          </cell>
          <cell r="C88">
            <v>0</v>
          </cell>
          <cell r="D88">
            <v>6261430</v>
          </cell>
          <cell r="E88">
            <v>0</v>
          </cell>
          <cell r="F88">
            <v>0</v>
          </cell>
          <cell r="G88">
            <v>0</v>
          </cell>
          <cell r="H88">
            <v>6261430</v>
          </cell>
          <cell r="I88">
            <v>0</v>
          </cell>
          <cell r="J88">
            <v>-6261430</v>
          </cell>
        </row>
        <row r="89">
          <cell r="A89" t="str">
            <v>5-1-01-03-003  CONTROL DE PLAGAS</v>
          </cell>
          <cell r="B89">
            <v>1507857</v>
          </cell>
          <cell r="C89">
            <v>0</v>
          </cell>
          <cell r="D89">
            <v>1507857</v>
          </cell>
          <cell r="E89">
            <v>0</v>
          </cell>
          <cell r="F89">
            <v>0</v>
          </cell>
          <cell r="G89">
            <v>0</v>
          </cell>
          <cell r="H89">
            <v>1507857</v>
          </cell>
          <cell r="I89">
            <v>0</v>
          </cell>
          <cell r="J89">
            <v>-1507857</v>
          </cell>
        </row>
        <row r="90">
          <cell r="A90" t="str">
            <v>5-1-01-04-001  MANTENCION TRANSPORTE VERTICAL</v>
          </cell>
          <cell r="B90">
            <v>2555900</v>
          </cell>
          <cell r="C90">
            <v>0</v>
          </cell>
          <cell r="D90">
            <v>2555900</v>
          </cell>
          <cell r="E90">
            <v>0</v>
          </cell>
          <cell r="F90">
            <v>0</v>
          </cell>
          <cell r="G90">
            <v>0</v>
          </cell>
          <cell r="H90">
            <v>2555900</v>
          </cell>
          <cell r="I90">
            <v>0</v>
          </cell>
          <cell r="J90">
            <v>-2555900</v>
          </cell>
        </row>
        <row r="91">
          <cell r="A91" t="str">
            <v>5-1-01-04-007  MANTENCION CCTV</v>
          </cell>
          <cell r="B91">
            <v>2950413</v>
          </cell>
          <cell r="C91">
            <v>0</v>
          </cell>
          <cell r="D91">
            <v>2950413</v>
          </cell>
          <cell r="E91">
            <v>0</v>
          </cell>
          <cell r="F91">
            <v>0</v>
          </cell>
          <cell r="G91">
            <v>0</v>
          </cell>
          <cell r="H91">
            <v>2950413</v>
          </cell>
          <cell r="I91">
            <v>0</v>
          </cell>
          <cell r="J91">
            <v>-2950413</v>
          </cell>
        </row>
        <row r="92">
          <cell r="A92" t="str">
            <v>5-1-01-04-010  MANTENCION ALCANTARILLADOS</v>
          </cell>
          <cell r="B92">
            <v>693681</v>
          </cell>
          <cell r="C92">
            <v>0</v>
          </cell>
          <cell r="D92">
            <v>693681</v>
          </cell>
          <cell r="E92">
            <v>0</v>
          </cell>
          <cell r="F92">
            <v>0</v>
          </cell>
          <cell r="G92">
            <v>0</v>
          </cell>
          <cell r="H92">
            <v>693681</v>
          </cell>
          <cell r="I92">
            <v>0</v>
          </cell>
          <cell r="J92">
            <v>-693681</v>
          </cell>
        </row>
        <row r="93">
          <cell r="A93" t="str">
            <v>5-1-01-04-011  MANTENCION GENERAL</v>
          </cell>
          <cell r="B93">
            <v>42785653</v>
          </cell>
          <cell r="C93">
            <v>489900</v>
          </cell>
          <cell r="D93">
            <v>42295753</v>
          </cell>
          <cell r="E93">
            <v>0</v>
          </cell>
          <cell r="F93">
            <v>0</v>
          </cell>
          <cell r="G93">
            <v>0</v>
          </cell>
          <cell r="H93">
            <v>42295753</v>
          </cell>
          <cell r="I93">
            <v>0</v>
          </cell>
          <cell r="J93">
            <v>-42295753</v>
          </cell>
        </row>
        <row r="94">
          <cell r="A94" t="str">
            <v>5-1-01-04-017  MANTENCION CLIMA CORRECTIVA</v>
          </cell>
          <cell r="B94">
            <v>592101</v>
          </cell>
          <cell r="C94">
            <v>0</v>
          </cell>
          <cell r="D94">
            <v>592101</v>
          </cell>
          <cell r="E94">
            <v>0</v>
          </cell>
          <cell r="F94">
            <v>0</v>
          </cell>
          <cell r="G94">
            <v>0</v>
          </cell>
          <cell r="H94">
            <v>592101</v>
          </cell>
          <cell r="I94">
            <v>0</v>
          </cell>
          <cell r="J94">
            <v>-592101</v>
          </cell>
        </row>
        <row r="95">
          <cell r="A95" t="str">
            <v>5-1-01-04-018  MANTENCION ELECTRICA CORRECTIVA</v>
          </cell>
          <cell r="B95">
            <v>1809820</v>
          </cell>
          <cell r="C95">
            <v>0</v>
          </cell>
          <cell r="D95">
            <v>1809820</v>
          </cell>
          <cell r="E95">
            <v>0</v>
          </cell>
          <cell r="F95">
            <v>0</v>
          </cell>
          <cell r="G95">
            <v>0</v>
          </cell>
          <cell r="H95">
            <v>1809820</v>
          </cell>
          <cell r="I95">
            <v>0</v>
          </cell>
          <cell r="J95">
            <v>-1809820</v>
          </cell>
        </row>
        <row r="96">
          <cell r="A96" t="str">
            <v>5-1-01-04-020  MANTENCION PUERTAS AUTOMATICAS</v>
          </cell>
          <cell r="B96">
            <v>782800</v>
          </cell>
          <cell r="C96">
            <v>0</v>
          </cell>
          <cell r="D96">
            <v>782800</v>
          </cell>
          <cell r="E96">
            <v>0</v>
          </cell>
          <cell r="F96">
            <v>0</v>
          </cell>
          <cell r="G96">
            <v>0</v>
          </cell>
          <cell r="H96">
            <v>782800</v>
          </cell>
          <cell r="I96">
            <v>0</v>
          </cell>
          <cell r="J96">
            <v>-782800</v>
          </cell>
        </row>
        <row r="97">
          <cell r="A97" t="str">
            <v>5-1-01-05-006  COMPRAS PETROLEO GAS BENCINA</v>
          </cell>
          <cell r="B97">
            <v>2779470</v>
          </cell>
          <cell r="C97">
            <v>0</v>
          </cell>
          <cell r="D97">
            <v>2779470</v>
          </cell>
          <cell r="E97">
            <v>0</v>
          </cell>
          <cell r="F97">
            <v>0</v>
          </cell>
          <cell r="G97">
            <v>0</v>
          </cell>
          <cell r="H97">
            <v>2779470</v>
          </cell>
          <cell r="I97">
            <v>0</v>
          </cell>
          <cell r="J97">
            <v>-2779470</v>
          </cell>
        </row>
        <row r="98">
          <cell r="A98" t="str">
            <v>5-1-01-06-001  CONSUMO AGUA COMUN</v>
          </cell>
          <cell r="B98">
            <v>7090023</v>
          </cell>
          <cell r="C98">
            <v>810896</v>
          </cell>
          <cell r="D98">
            <v>6279127</v>
          </cell>
          <cell r="E98">
            <v>0</v>
          </cell>
          <cell r="F98">
            <v>0</v>
          </cell>
          <cell r="G98">
            <v>0</v>
          </cell>
          <cell r="H98">
            <v>6279127</v>
          </cell>
          <cell r="I98">
            <v>0</v>
          </cell>
          <cell r="J98">
            <v>-6279127</v>
          </cell>
        </row>
        <row r="99">
          <cell r="A99" t="str">
            <v>5-1-01-06-002  CONSUMO ENERGIA COMUN</v>
          </cell>
          <cell r="B99">
            <v>87336909</v>
          </cell>
          <cell r="C99">
            <v>483</v>
          </cell>
          <cell r="D99">
            <v>87336426</v>
          </cell>
          <cell r="E99">
            <v>0</v>
          </cell>
          <cell r="F99">
            <v>0</v>
          </cell>
          <cell r="G99">
            <v>0</v>
          </cell>
          <cell r="H99">
            <v>87336426</v>
          </cell>
          <cell r="I99">
            <v>0</v>
          </cell>
          <cell r="J99">
            <v>-87336426</v>
          </cell>
        </row>
        <row r="100">
          <cell r="A100" t="str">
            <v>5-1-01-06-003  GASTO COMUN PROPIO</v>
          </cell>
          <cell r="B100">
            <v>370486</v>
          </cell>
          <cell r="C100">
            <v>0</v>
          </cell>
          <cell r="D100">
            <v>370486</v>
          </cell>
          <cell r="E100">
            <v>0</v>
          </cell>
          <cell r="F100">
            <v>0</v>
          </cell>
          <cell r="G100">
            <v>0</v>
          </cell>
          <cell r="H100">
            <v>370486</v>
          </cell>
          <cell r="I100">
            <v>0</v>
          </cell>
          <cell r="J100">
            <v>-370486</v>
          </cell>
        </row>
        <row r="101">
          <cell r="A101" t="str">
            <v>5-1-01-06-004  SERVICIOS INFORMATICOS DE SISTEMAS</v>
          </cell>
          <cell r="B101">
            <v>1880978</v>
          </cell>
          <cell r="C101">
            <v>0</v>
          </cell>
          <cell r="D101">
            <v>1880978</v>
          </cell>
          <cell r="E101">
            <v>0</v>
          </cell>
          <cell r="F101">
            <v>0</v>
          </cell>
          <cell r="G101">
            <v>0</v>
          </cell>
          <cell r="H101">
            <v>1880978</v>
          </cell>
          <cell r="I101">
            <v>0</v>
          </cell>
          <cell r="J101">
            <v>-1880978</v>
          </cell>
        </row>
        <row r="102">
          <cell r="A102" t="str">
            <v>5-1-01-07-001  TELEFONO</v>
          </cell>
          <cell r="B102">
            <v>272209</v>
          </cell>
          <cell r="C102">
            <v>5641</v>
          </cell>
          <cell r="D102">
            <v>266568</v>
          </cell>
          <cell r="E102">
            <v>0</v>
          </cell>
          <cell r="F102">
            <v>0</v>
          </cell>
          <cell r="G102">
            <v>0</v>
          </cell>
          <cell r="H102">
            <v>266568</v>
          </cell>
          <cell r="I102">
            <v>0</v>
          </cell>
          <cell r="J102">
            <v>-266568</v>
          </cell>
        </row>
        <row r="103">
          <cell r="A103" t="str">
            <v>5-1-01-07-002  INTERNET</v>
          </cell>
          <cell r="B103">
            <v>1538329</v>
          </cell>
          <cell r="C103">
            <v>0</v>
          </cell>
          <cell r="D103">
            <v>1538329</v>
          </cell>
          <cell r="E103">
            <v>0</v>
          </cell>
          <cell r="F103">
            <v>0</v>
          </cell>
          <cell r="G103">
            <v>0</v>
          </cell>
          <cell r="H103">
            <v>1538329</v>
          </cell>
          <cell r="I103">
            <v>0</v>
          </cell>
          <cell r="J103">
            <v>-1538329</v>
          </cell>
        </row>
        <row r="104">
          <cell r="A104" t="str">
            <v>5-1-01-07-005  ARTICULOS DE OFICINA</v>
          </cell>
          <cell r="B104">
            <v>953248</v>
          </cell>
          <cell r="C104">
            <v>0</v>
          </cell>
          <cell r="D104">
            <v>953248</v>
          </cell>
          <cell r="E104">
            <v>0</v>
          </cell>
          <cell r="F104">
            <v>0</v>
          </cell>
          <cell r="G104">
            <v>0</v>
          </cell>
          <cell r="H104">
            <v>953248</v>
          </cell>
          <cell r="I104">
            <v>0</v>
          </cell>
          <cell r="J104">
            <v>-953248</v>
          </cell>
        </row>
        <row r="105">
          <cell r="A105" t="str">
            <v>5-1-01-10-003  REMUNERACIONES TENS Y RRHH</v>
          </cell>
          <cell r="B105">
            <v>4601544</v>
          </cell>
          <cell r="C105">
            <v>0</v>
          </cell>
          <cell r="D105">
            <v>4601544</v>
          </cell>
          <cell r="E105">
            <v>0</v>
          </cell>
          <cell r="F105">
            <v>0</v>
          </cell>
          <cell r="G105">
            <v>0</v>
          </cell>
          <cell r="H105">
            <v>4601544</v>
          </cell>
          <cell r="I105">
            <v>0</v>
          </cell>
          <cell r="J105">
            <v>-4601544</v>
          </cell>
        </row>
        <row r="106">
          <cell r="A106" t="str">
            <v>5-1-01-11-001  HABILITACIÓN LOCALES OUTLET FLORIDA</v>
          </cell>
          <cell r="B106">
            <v>20742771</v>
          </cell>
          <cell r="C106">
            <v>0</v>
          </cell>
          <cell r="D106">
            <v>20742771</v>
          </cell>
          <cell r="E106">
            <v>0</v>
          </cell>
          <cell r="F106">
            <v>0</v>
          </cell>
          <cell r="G106">
            <v>0</v>
          </cell>
          <cell r="H106">
            <v>20742771</v>
          </cell>
          <cell r="I106">
            <v>0</v>
          </cell>
          <cell r="J106">
            <v>-20742771</v>
          </cell>
        </row>
        <row r="107">
          <cell r="A107" t="str">
            <v>5-1-01-11-002  HABILITACIÓN LOCALES STRIP FLORIDA</v>
          </cell>
          <cell r="B107">
            <v>10005605</v>
          </cell>
          <cell r="C107">
            <v>0</v>
          </cell>
          <cell r="D107">
            <v>10005605</v>
          </cell>
          <cell r="E107">
            <v>0</v>
          </cell>
          <cell r="F107">
            <v>0</v>
          </cell>
          <cell r="G107">
            <v>0</v>
          </cell>
          <cell r="H107">
            <v>10005605</v>
          </cell>
          <cell r="I107">
            <v>0</v>
          </cell>
          <cell r="J107">
            <v>-10005605</v>
          </cell>
        </row>
        <row r="108">
          <cell r="A108" t="str">
            <v>5-1-03-01-004  PROMOCIONES VARIAS</v>
          </cell>
          <cell r="B108">
            <v>950106</v>
          </cell>
          <cell r="C108">
            <v>0</v>
          </cell>
          <cell r="D108">
            <v>950106</v>
          </cell>
          <cell r="E108">
            <v>0</v>
          </cell>
          <cell r="F108">
            <v>0</v>
          </cell>
          <cell r="G108">
            <v>0</v>
          </cell>
          <cell r="H108">
            <v>950106</v>
          </cell>
          <cell r="I108">
            <v>0</v>
          </cell>
          <cell r="J108">
            <v>-950106</v>
          </cell>
        </row>
        <row r="109">
          <cell r="A109" t="str">
            <v>5-2-01-01-001  REMUNERACIONES BRUTAS</v>
          </cell>
          <cell r="B109">
            <v>112739141</v>
          </cell>
          <cell r="C109">
            <v>0</v>
          </cell>
          <cell r="D109">
            <v>112739141</v>
          </cell>
          <cell r="E109">
            <v>0</v>
          </cell>
          <cell r="F109">
            <v>0</v>
          </cell>
          <cell r="G109">
            <v>0</v>
          </cell>
          <cell r="H109">
            <v>112739141</v>
          </cell>
          <cell r="I109">
            <v>0</v>
          </cell>
          <cell r="J109">
            <v>-112739141</v>
          </cell>
        </row>
        <row r="110">
          <cell r="A110" t="str">
            <v>5-2-01-01-002  APORTES PATRONALES</v>
          </cell>
          <cell r="B110">
            <v>2238584</v>
          </cell>
          <cell r="C110">
            <v>0</v>
          </cell>
          <cell r="D110">
            <v>2238584</v>
          </cell>
          <cell r="E110">
            <v>0</v>
          </cell>
          <cell r="F110">
            <v>0</v>
          </cell>
          <cell r="G110">
            <v>0</v>
          </cell>
          <cell r="H110">
            <v>2238584</v>
          </cell>
          <cell r="I110">
            <v>0</v>
          </cell>
          <cell r="J110">
            <v>-2238584</v>
          </cell>
        </row>
        <row r="111">
          <cell r="A111" t="str">
            <v>5-2-01-01-004  GRATIFICACIONES</v>
          </cell>
          <cell r="B111">
            <v>4632784</v>
          </cell>
          <cell r="C111">
            <v>0</v>
          </cell>
          <cell r="D111">
            <v>4632784</v>
          </cell>
          <cell r="E111">
            <v>0</v>
          </cell>
          <cell r="F111">
            <v>0</v>
          </cell>
          <cell r="G111">
            <v>0</v>
          </cell>
          <cell r="H111">
            <v>4632784</v>
          </cell>
          <cell r="I111">
            <v>0</v>
          </cell>
          <cell r="J111">
            <v>-4632784</v>
          </cell>
        </row>
        <row r="112">
          <cell r="A112" t="str">
            <v>5-2-01-01-006  OTROS NO IMPONIBLES</v>
          </cell>
          <cell r="B112">
            <v>3185318</v>
          </cell>
          <cell r="C112">
            <v>0</v>
          </cell>
          <cell r="D112">
            <v>3185318</v>
          </cell>
          <cell r="E112">
            <v>0</v>
          </cell>
          <cell r="F112">
            <v>0</v>
          </cell>
          <cell r="G112">
            <v>0</v>
          </cell>
          <cell r="H112">
            <v>3185318</v>
          </cell>
          <cell r="I112">
            <v>0</v>
          </cell>
          <cell r="J112">
            <v>-3185318</v>
          </cell>
        </row>
        <row r="113">
          <cell r="A113" t="str">
            <v>5-2-01-01-008  SEGURO COMPLEMENTARIO SALUD</v>
          </cell>
          <cell r="B113">
            <v>1303046</v>
          </cell>
          <cell r="C113">
            <v>293920</v>
          </cell>
          <cell r="D113">
            <v>1009126</v>
          </cell>
          <cell r="E113">
            <v>0</v>
          </cell>
          <cell r="F113">
            <v>0</v>
          </cell>
          <cell r="G113">
            <v>0</v>
          </cell>
          <cell r="H113">
            <v>1009126</v>
          </cell>
          <cell r="I113">
            <v>0</v>
          </cell>
          <cell r="J113">
            <v>-1009126</v>
          </cell>
        </row>
        <row r="114">
          <cell r="A114" t="str">
            <v>5-2-01-02-001  HONORARIOS CONTABLES</v>
          </cell>
          <cell r="B114">
            <v>226372</v>
          </cell>
          <cell r="C114">
            <v>0</v>
          </cell>
          <cell r="D114">
            <v>226372</v>
          </cell>
          <cell r="E114">
            <v>0</v>
          </cell>
          <cell r="F114">
            <v>0</v>
          </cell>
          <cell r="G114">
            <v>0</v>
          </cell>
          <cell r="H114">
            <v>226372</v>
          </cell>
          <cell r="I114">
            <v>0</v>
          </cell>
          <cell r="J114">
            <v>-226372</v>
          </cell>
        </row>
        <row r="115">
          <cell r="A115" t="str">
            <v>5-2-01-02-002  HONORARIOS SERVICIOS LEGALES</v>
          </cell>
          <cell r="B115">
            <v>1637659</v>
          </cell>
          <cell r="C115">
            <v>0</v>
          </cell>
          <cell r="D115">
            <v>1637659</v>
          </cell>
          <cell r="E115">
            <v>0</v>
          </cell>
          <cell r="F115">
            <v>0</v>
          </cell>
          <cell r="G115">
            <v>0</v>
          </cell>
          <cell r="H115">
            <v>1637659</v>
          </cell>
          <cell r="I115">
            <v>0</v>
          </cell>
          <cell r="J115">
            <v>-1637659</v>
          </cell>
        </row>
        <row r="116">
          <cell r="A116" t="str">
            <v>5-2-01-02-003  ASESORIAS Y CONSULTORIAS</v>
          </cell>
          <cell r="B116">
            <v>39802021</v>
          </cell>
          <cell r="C116">
            <v>0</v>
          </cell>
          <cell r="D116">
            <v>39802021</v>
          </cell>
          <cell r="E116">
            <v>0</v>
          </cell>
          <cell r="F116">
            <v>0</v>
          </cell>
          <cell r="G116">
            <v>0</v>
          </cell>
          <cell r="H116">
            <v>39802021</v>
          </cell>
          <cell r="I116">
            <v>0</v>
          </cell>
          <cell r="J116">
            <v>-39802021</v>
          </cell>
        </row>
        <row r="117">
          <cell r="A117" t="str">
            <v>5-2-01-02-004  SERVICIOS DE ASEO</v>
          </cell>
          <cell r="B117">
            <v>21964194</v>
          </cell>
          <cell r="C117">
            <v>0</v>
          </cell>
          <cell r="D117">
            <v>21964194</v>
          </cell>
          <cell r="E117">
            <v>0</v>
          </cell>
          <cell r="F117">
            <v>0</v>
          </cell>
          <cell r="G117">
            <v>0</v>
          </cell>
          <cell r="H117">
            <v>21964194</v>
          </cell>
          <cell r="I117">
            <v>0</v>
          </cell>
          <cell r="J117">
            <v>-21964194</v>
          </cell>
        </row>
        <row r="118">
          <cell r="A118" t="str">
            <v>5-2-01-02-007  SERVICIOS DE PUBLICIDAD Y MARKETING</v>
          </cell>
          <cell r="B118">
            <v>9651173</v>
          </cell>
          <cell r="C118">
            <v>88655</v>
          </cell>
          <cell r="D118">
            <v>9562518</v>
          </cell>
          <cell r="E118">
            <v>0</v>
          </cell>
          <cell r="F118">
            <v>0</v>
          </cell>
          <cell r="G118">
            <v>0</v>
          </cell>
          <cell r="H118">
            <v>9562518</v>
          </cell>
          <cell r="I118">
            <v>0</v>
          </cell>
          <cell r="J118">
            <v>-9562518</v>
          </cell>
        </row>
        <row r="119">
          <cell r="A119" t="str">
            <v>5-2-01-03-002  GASTOS NOTARIALES</v>
          </cell>
          <cell r="B119">
            <v>2317200</v>
          </cell>
          <cell r="C119">
            <v>0</v>
          </cell>
          <cell r="D119">
            <v>2317200</v>
          </cell>
          <cell r="E119">
            <v>0</v>
          </cell>
          <cell r="F119">
            <v>0</v>
          </cell>
          <cell r="G119">
            <v>0</v>
          </cell>
          <cell r="H119">
            <v>2317200</v>
          </cell>
          <cell r="I119">
            <v>0</v>
          </cell>
          <cell r="J119">
            <v>-2317200</v>
          </cell>
        </row>
        <row r="120">
          <cell r="A120" t="str">
            <v>5-2-01-03-004  GASTO IVA PROPORCIONAL</v>
          </cell>
          <cell r="B120">
            <v>11052688</v>
          </cell>
          <cell r="C120">
            <v>0</v>
          </cell>
          <cell r="D120">
            <v>11052688</v>
          </cell>
          <cell r="E120">
            <v>0</v>
          </cell>
          <cell r="F120">
            <v>0</v>
          </cell>
          <cell r="G120">
            <v>0</v>
          </cell>
          <cell r="H120">
            <v>11052688</v>
          </cell>
          <cell r="I120">
            <v>0</v>
          </cell>
          <cell r="J120">
            <v>-11052688</v>
          </cell>
        </row>
        <row r="121">
          <cell r="A121" t="str">
            <v>5-2-01-03-006  GASTOS GENERALES</v>
          </cell>
          <cell r="B121">
            <v>2977621</v>
          </cell>
          <cell r="C121">
            <v>88348</v>
          </cell>
          <cell r="D121">
            <v>2889273</v>
          </cell>
          <cell r="E121">
            <v>0</v>
          </cell>
          <cell r="F121">
            <v>0</v>
          </cell>
          <cell r="G121">
            <v>0</v>
          </cell>
          <cell r="H121">
            <v>2889273</v>
          </cell>
          <cell r="I121">
            <v>0</v>
          </cell>
          <cell r="J121">
            <v>-2889273</v>
          </cell>
        </row>
        <row r="122">
          <cell r="A122" t="str">
            <v>5-2-01-05-001  GASTOS DE REPRESENTACION</v>
          </cell>
          <cell r="B122">
            <v>2083035</v>
          </cell>
          <cell r="C122">
            <v>0</v>
          </cell>
          <cell r="D122">
            <v>2083035</v>
          </cell>
          <cell r="E122">
            <v>0</v>
          </cell>
          <cell r="F122">
            <v>0</v>
          </cell>
          <cell r="G122">
            <v>0</v>
          </cell>
          <cell r="H122">
            <v>2083035</v>
          </cell>
          <cell r="I122">
            <v>0</v>
          </cell>
          <cell r="J122">
            <v>-2083035</v>
          </cell>
        </row>
        <row r="123">
          <cell r="A123" t="str">
            <v>5-2-01-06-001  ARRIENDOS</v>
          </cell>
          <cell r="B123">
            <v>4053512</v>
          </cell>
          <cell r="C123">
            <v>0</v>
          </cell>
          <cell r="D123">
            <v>4053512</v>
          </cell>
          <cell r="E123">
            <v>0</v>
          </cell>
          <cell r="F123">
            <v>0</v>
          </cell>
          <cell r="G123">
            <v>0</v>
          </cell>
          <cell r="H123">
            <v>4053512</v>
          </cell>
          <cell r="I123">
            <v>0</v>
          </cell>
          <cell r="J123">
            <v>-4053512</v>
          </cell>
        </row>
        <row r="124">
          <cell r="A124" t="str">
            <v>5-2-01-07-001  CONTRIBUCIONES</v>
          </cell>
          <cell r="B124">
            <v>3629485</v>
          </cell>
          <cell r="C124">
            <v>0</v>
          </cell>
          <cell r="D124">
            <v>3629485</v>
          </cell>
          <cell r="E124">
            <v>0</v>
          </cell>
          <cell r="F124">
            <v>0</v>
          </cell>
          <cell r="G124">
            <v>0</v>
          </cell>
          <cell r="H124">
            <v>3629485</v>
          </cell>
          <cell r="I124">
            <v>0</v>
          </cell>
          <cell r="J124">
            <v>-3629485</v>
          </cell>
        </row>
        <row r="125">
          <cell r="A125" t="str">
            <v>5-3-01-01-001  INTERESES LEASING</v>
          </cell>
          <cell r="B125">
            <v>70476725</v>
          </cell>
          <cell r="C125">
            <v>0</v>
          </cell>
          <cell r="D125">
            <v>70476725</v>
          </cell>
          <cell r="E125">
            <v>0</v>
          </cell>
          <cell r="F125">
            <v>0</v>
          </cell>
          <cell r="G125">
            <v>0</v>
          </cell>
          <cell r="H125">
            <v>70476725</v>
          </cell>
          <cell r="I125">
            <v>0</v>
          </cell>
          <cell r="J125">
            <v>-70476725</v>
          </cell>
        </row>
        <row r="126">
          <cell r="A126" t="str">
            <v>5-3-01-01-002  GASTOS BANCARIOS</v>
          </cell>
          <cell r="B126">
            <v>3798793</v>
          </cell>
          <cell r="C126">
            <v>0</v>
          </cell>
          <cell r="D126">
            <v>3798793</v>
          </cell>
          <cell r="E126">
            <v>0</v>
          </cell>
          <cell r="F126">
            <v>0</v>
          </cell>
          <cell r="G126">
            <v>0</v>
          </cell>
          <cell r="H126">
            <v>3798793</v>
          </cell>
          <cell r="I126">
            <v>0</v>
          </cell>
          <cell r="J126">
            <v>-3798793</v>
          </cell>
        </row>
        <row r="127">
          <cell r="A127" t="str">
            <v>5-3-01-01-003  MULTAS INTERESES Y REAJUSTES</v>
          </cell>
          <cell r="B127">
            <v>414910</v>
          </cell>
          <cell r="C127">
            <v>0</v>
          </cell>
          <cell r="D127">
            <v>414910</v>
          </cell>
          <cell r="E127">
            <v>0</v>
          </cell>
          <cell r="F127">
            <v>0</v>
          </cell>
          <cell r="G127">
            <v>0</v>
          </cell>
          <cell r="H127">
            <v>414910</v>
          </cell>
          <cell r="I127">
            <v>0</v>
          </cell>
          <cell r="J127">
            <v>-414910</v>
          </cell>
        </row>
        <row r="128">
          <cell r="A128" t="str">
            <v>5-3-01-02-006  GANANCIA (PERDIDA) SWAP</v>
          </cell>
          <cell r="B128">
            <v>99962252</v>
          </cell>
          <cell r="C128">
            <v>0</v>
          </cell>
          <cell r="D128">
            <v>99962252</v>
          </cell>
          <cell r="E128">
            <v>0</v>
          </cell>
          <cell r="F128">
            <v>0</v>
          </cell>
          <cell r="G128">
            <v>0</v>
          </cell>
          <cell r="H128">
            <v>99962252</v>
          </cell>
          <cell r="I128">
            <v>0</v>
          </cell>
          <cell r="J128">
            <v>-99962252</v>
          </cell>
        </row>
        <row r="129">
          <cell r="A129" t="str">
            <v>5-3-01-02-007  MAYOR / MENOR VALOR DE INVERSIONES</v>
          </cell>
          <cell r="B129">
            <v>6870800</v>
          </cell>
          <cell r="C129">
            <v>161113682</v>
          </cell>
          <cell r="D129">
            <v>0</v>
          </cell>
          <cell r="E129">
            <v>154242882</v>
          </cell>
          <cell r="F129">
            <v>0</v>
          </cell>
          <cell r="G129">
            <v>0</v>
          </cell>
          <cell r="H129">
            <v>0</v>
          </cell>
          <cell r="I129">
            <v>154242882</v>
          </cell>
          <cell r="J129">
            <v>154242882</v>
          </cell>
        </row>
        <row r="130">
          <cell r="A130" t="str">
            <v>5-3-01-03-004  CORRECCION REMANENTE CREDITO FISCAL</v>
          </cell>
          <cell r="B130">
            <v>0</v>
          </cell>
          <cell r="C130">
            <v>502988</v>
          </cell>
          <cell r="D130">
            <v>0</v>
          </cell>
          <cell r="E130">
            <v>502988</v>
          </cell>
          <cell r="F130">
            <v>0</v>
          </cell>
          <cell r="G130">
            <v>0</v>
          </cell>
          <cell r="H130">
            <v>0</v>
          </cell>
          <cell r="I130">
            <v>502988</v>
          </cell>
          <cell r="J130">
            <v>502988</v>
          </cell>
        </row>
        <row r="131">
          <cell r="A131" t="str">
            <v>5-3-01-03-006  CORRECCION EN UF</v>
          </cell>
          <cell r="B131">
            <v>197308307</v>
          </cell>
          <cell r="C131">
            <v>196735977</v>
          </cell>
          <cell r="D131">
            <v>572330</v>
          </cell>
          <cell r="E131">
            <v>0</v>
          </cell>
          <cell r="F131">
            <v>0</v>
          </cell>
          <cell r="G131">
            <v>0</v>
          </cell>
          <cell r="H131">
            <v>572330</v>
          </cell>
          <cell r="I131">
            <v>0</v>
          </cell>
          <cell r="J131">
            <v>-572330</v>
          </cell>
        </row>
        <row r="132">
          <cell r="A132" t="str">
            <v>5-3-01-03-011  VARIACION USD</v>
          </cell>
          <cell r="B132">
            <v>19</v>
          </cell>
          <cell r="C132">
            <v>0</v>
          </cell>
          <cell r="D132">
            <v>19</v>
          </cell>
          <cell r="E132">
            <v>0</v>
          </cell>
          <cell r="F132">
            <v>0</v>
          </cell>
          <cell r="G132">
            <v>0</v>
          </cell>
          <cell r="H132">
            <v>19</v>
          </cell>
          <cell r="I132">
            <v>0</v>
          </cell>
          <cell r="J132">
            <v>-19</v>
          </cell>
        </row>
        <row r="133">
          <cell r="A133" t="str">
            <v>Sub-Totales</v>
          </cell>
          <cell r="B133">
            <v>8383616961</v>
          </cell>
          <cell r="C133">
            <v>8383616961</v>
          </cell>
          <cell r="D133">
            <v>1474499463</v>
          </cell>
          <cell r="E133">
            <v>1474499463</v>
          </cell>
          <cell r="F133">
            <v>810415140</v>
          </cell>
          <cell r="G133">
            <v>199458565</v>
          </cell>
          <cell r="H133">
            <v>664084323</v>
          </cell>
          <cell r="I133">
            <v>1275040898</v>
          </cell>
          <cell r="J133">
            <v>0</v>
          </cell>
        </row>
        <row r="134">
          <cell r="A134" t="str">
            <v>Pérdidas / Ganancias</v>
          </cell>
          <cell r="B134"/>
          <cell r="C134"/>
          <cell r="D134"/>
          <cell r="E134"/>
          <cell r="F134"/>
          <cell r="G134">
            <v>610956575</v>
          </cell>
          <cell r="H134">
            <v>610956575</v>
          </cell>
          <cell r="I134"/>
          <cell r="J134">
            <v>0</v>
          </cell>
        </row>
        <row r="135">
          <cell r="A135" t="str">
            <v>Total General</v>
          </cell>
          <cell r="B135">
            <v>8383616961</v>
          </cell>
          <cell r="C135">
            <v>8383616961</v>
          </cell>
          <cell r="D135">
            <v>1474499463</v>
          </cell>
          <cell r="E135">
            <v>1474499463</v>
          </cell>
          <cell r="F135">
            <v>810415140</v>
          </cell>
          <cell r="G135">
            <v>810415140</v>
          </cell>
          <cell r="H135">
            <v>1275040898</v>
          </cell>
          <cell r="I135">
            <v>1275040898</v>
          </cell>
          <cell r="J135">
            <v>0</v>
          </cell>
        </row>
      </sheetData>
      <sheetData sheetId="14">
        <row r="1">
          <cell r="A1" t="str">
            <v>INVERSIONES SANTA FIDELMIRA LIMITADA</v>
          </cell>
          <cell r="B1"/>
          <cell r="C1"/>
          <cell r="D1"/>
          <cell r="E1"/>
          <cell r="F1"/>
          <cell r="G1"/>
          <cell r="H1"/>
          <cell r="I1"/>
        </row>
        <row r="2">
          <cell r="A2" t="str">
            <v>ARRIENDO, EXPLOTACION  BIENES INMUEBLES</v>
          </cell>
          <cell r="B2"/>
          <cell r="C2"/>
          <cell r="D2"/>
          <cell r="E2"/>
          <cell r="F2"/>
          <cell r="G2"/>
          <cell r="H2"/>
          <cell r="I2"/>
        </row>
        <row r="3">
          <cell r="A3" t="str">
            <v>MAIPU #599</v>
          </cell>
          <cell r="B3"/>
          <cell r="C3"/>
          <cell r="D3"/>
          <cell r="E3"/>
          <cell r="F3"/>
          <cell r="G3"/>
          <cell r="H3"/>
          <cell r="I3"/>
        </row>
        <row r="4">
          <cell r="A4" t="str">
            <v>LINARES</v>
          </cell>
          <cell r="B4"/>
          <cell r="C4"/>
          <cell r="D4"/>
          <cell r="E4"/>
          <cell r="F4"/>
          <cell r="G4"/>
          <cell r="H4"/>
          <cell r="I4"/>
        </row>
        <row r="5">
          <cell r="A5" t="str">
            <v>LINARES</v>
          </cell>
          <cell r="B5"/>
          <cell r="C5"/>
          <cell r="D5"/>
          <cell r="E5"/>
          <cell r="F5"/>
          <cell r="G5"/>
          <cell r="H5"/>
          <cell r="I5"/>
        </row>
        <row r="6">
          <cell r="A6" t="str">
            <v>79.991.280-5</v>
          </cell>
          <cell r="B6"/>
          <cell r="C6"/>
          <cell r="D6"/>
          <cell r="E6"/>
          <cell r="F6"/>
          <cell r="G6"/>
          <cell r="H6" t="str">
            <v>Fecha :</v>
          </cell>
          <cell r="I6" t="str">
            <v>21/10/2025</v>
          </cell>
        </row>
        <row r="8">
          <cell r="A8" t="str">
            <v>Balance Tributario</v>
          </cell>
          <cell r="B8"/>
          <cell r="C8"/>
          <cell r="D8"/>
          <cell r="E8"/>
          <cell r="F8"/>
          <cell r="G8"/>
          <cell r="H8"/>
          <cell r="I8"/>
        </row>
        <row r="9">
          <cell r="A9" t="str">
            <v xml:space="preserve"> Desde :Junio/2025</v>
          </cell>
          <cell r="B9"/>
          <cell r="C9"/>
          <cell r="D9"/>
          <cell r="E9"/>
          <cell r="F9"/>
          <cell r="G9"/>
          <cell r="H9"/>
          <cell r="I9"/>
        </row>
        <row r="10">
          <cell r="A10" t="str">
            <v xml:space="preserve"> Hasta :Junio/2025</v>
          </cell>
          <cell r="B10"/>
          <cell r="C10"/>
          <cell r="D10"/>
          <cell r="E10"/>
          <cell r="F10"/>
          <cell r="G10"/>
          <cell r="H10"/>
          <cell r="I10"/>
        </row>
        <row r="12">
          <cell r="A12" t="str">
            <v>Cuenta Contable</v>
          </cell>
          <cell r="B12" t="str">
            <v>Valores Acumulados</v>
          </cell>
          <cell r="C12"/>
          <cell r="D12" t="str">
            <v>Saldos</v>
          </cell>
          <cell r="E12"/>
          <cell r="F12" t="str">
            <v>Inventario</v>
          </cell>
          <cell r="G12"/>
          <cell r="H12" t="str">
            <v>Resultados</v>
          </cell>
          <cell r="I12"/>
        </row>
        <row r="13">
          <cell r="A13"/>
          <cell r="B13" t="str">
            <v>Débitos</v>
          </cell>
          <cell r="C13" t="str">
            <v>Créditos</v>
          </cell>
          <cell r="D13" t="str">
            <v>Deudor</v>
          </cell>
          <cell r="E13" t="str">
            <v>Acreedor</v>
          </cell>
          <cell r="F13" t="str">
            <v>Activo</v>
          </cell>
          <cell r="G13" t="str">
            <v>Pasivo</v>
          </cell>
          <cell r="H13" t="str">
            <v>Pérdida</v>
          </cell>
          <cell r="I13" t="str">
            <v>Ganancia</v>
          </cell>
        </row>
        <row r="14">
          <cell r="A14" t="str">
            <v>1-1-10-01-004  CAJA CHICA OUTLET TALCA</v>
          </cell>
          <cell r="B14">
            <v>2000000</v>
          </cell>
          <cell r="C14">
            <v>2267488</v>
          </cell>
          <cell r="D14">
            <v>0</v>
          </cell>
          <cell r="E14">
            <v>267488</v>
          </cell>
          <cell r="F14">
            <v>0</v>
          </cell>
          <cell r="G14">
            <v>267488</v>
          </cell>
          <cell r="H14">
            <v>0</v>
          </cell>
          <cell r="I14">
            <v>0</v>
          </cell>
          <cell r="J14">
            <v>-267488</v>
          </cell>
        </row>
        <row r="15">
          <cell r="A15" t="str">
            <v>1-1-10-01-005  CAJA CHICA LINARES</v>
          </cell>
          <cell r="B15">
            <v>1346510</v>
          </cell>
          <cell r="C15">
            <v>1346513</v>
          </cell>
          <cell r="D15">
            <v>0</v>
          </cell>
          <cell r="E15">
            <v>3</v>
          </cell>
          <cell r="F15">
            <v>0</v>
          </cell>
          <cell r="G15">
            <v>3</v>
          </cell>
          <cell r="H15">
            <v>0</v>
          </cell>
          <cell r="I15">
            <v>0</v>
          </cell>
          <cell r="J15">
            <v>-3</v>
          </cell>
        </row>
        <row r="16">
          <cell r="A16" t="str">
            <v>1-1-10-01-007  CAJA CHICA SANTIAGO</v>
          </cell>
          <cell r="B16">
            <v>293088</v>
          </cell>
          <cell r="C16">
            <v>122139</v>
          </cell>
          <cell r="D16">
            <v>170949</v>
          </cell>
          <cell r="E16">
            <v>0</v>
          </cell>
          <cell r="F16">
            <v>170949</v>
          </cell>
          <cell r="G16">
            <v>0</v>
          </cell>
          <cell r="H16">
            <v>0</v>
          </cell>
          <cell r="I16">
            <v>0</v>
          </cell>
          <cell r="J16">
            <v>170949</v>
          </cell>
        </row>
        <row r="17">
          <cell r="A17" t="str">
            <v>1-1-10-01-008  CAJA CHICA OFICINAS SANTIAGO</v>
          </cell>
          <cell r="B17">
            <v>1500000</v>
          </cell>
          <cell r="C17">
            <v>1792401</v>
          </cell>
          <cell r="D17">
            <v>0</v>
          </cell>
          <cell r="E17">
            <v>292401</v>
          </cell>
          <cell r="F17">
            <v>0</v>
          </cell>
          <cell r="G17">
            <v>292401</v>
          </cell>
          <cell r="H17">
            <v>0</v>
          </cell>
          <cell r="I17">
            <v>0</v>
          </cell>
          <cell r="J17">
            <v>-292401</v>
          </cell>
        </row>
        <row r="18">
          <cell r="A18" t="str">
            <v>1-1-10-02-002  BANCO SANTANDER 25996240</v>
          </cell>
          <cell r="B18">
            <v>1966342517</v>
          </cell>
          <cell r="C18">
            <v>1993912530</v>
          </cell>
          <cell r="D18">
            <v>0</v>
          </cell>
          <cell r="E18">
            <v>27570013</v>
          </cell>
          <cell r="F18">
            <v>0</v>
          </cell>
          <cell r="G18">
            <v>27570013</v>
          </cell>
          <cell r="H18">
            <v>0</v>
          </cell>
          <cell r="I18">
            <v>0</v>
          </cell>
          <cell r="J18">
            <v>-27570013</v>
          </cell>
        </row>
        <row r="19">
          <cell r="A19" t="str">
            <v>1-1-10-02-004  BANCO CREDITO E INVERSIONES</v>
          </cell>
          <cell r="B19">
            <v>263768844</v>
          </cell>
          <cell r="C19">
            <v>263768844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1-1-10-02-005  BANCO ITAU</v>
          </cell>
          <cell r="B20">
            <v>311628778</v>
          </cell>
          <cell r="C20">
            <v>302038387</v>
          </cell>
          <cell r="D20">
            <v>9590391</v>
          </cell>
          <cell r="E20">
            <v>0</v>
          </cell>
          <cell r="F20">
            <v>9590391</v>
          </cell>
          <cell r="G20">
            <v>0</v>
          </cell>
          <cell r="H20">
            <v>0</v>
          </cell>
          <cell r="I20">
            <v>0</v>
          </cell>
          <cell r="J20">
            <v>9590391</v>
          </cell>
        </row>
        <row r="21">
          <cell r="A21" t="str">
            <v>1-1-10-02-006  BANCO INTERNACIONAL</v>
          </cell>
          <cell r="B21">
            <v>59210271</v>
          </cell>
          <cell r="C21">
            <v>59328939</v>
          </cell>
          <cell r="D21">
            <v>0</v>
          </cell>
          <cell r="E21">
            <v>118668</v>
          </cell>
          <cell r="F21">
            <v>0</v>
          </cell>
          <cell r="G21">
            <v>118668</v>
          </cell>
          <cell r="H21">
            <v>0</v>
          </cell>
          <cell r="I21">
            <v>0</v>
          </cell>
          <cell r="J21">
            <v>-118668</v>
          </cell>
        </row>
        <row r="22">
          <cell r="A22" t="str">
            <v>1-1-10-02-007  BANCO BCI CHILE DOLARES</v>
          </cell>
          <cell r="B22">
            <v>14133497</v>
          </cell>
          <cell r="C22">
            <v>3065862</v>
          </cell>
          <cell r="D22">
            <v>11067635</v>
          </cell>
          <cell r="E22">
            <v>0</v>
          </cell>
          <cell r="F22">
            <v>11067635</v>
          </cell>
          <cell r="G22">
            <v>0</v>
          </cell>
          <cell r="H22">
            <v>0</v>
          </cell>
          <cell r="I22">
            <v>0</v>
          </cell>
          <cell r="J22">
            <v>11067635</v>
          </cell>
        </row>
        <row r="23">
          <cell r="A23" t="str">
            <v>1-1-20-01-003  ACCIONES CFINRENTAS BANCO SANTANDER</v>
          </cell>
          <cell r="B23">
            <v>0</v>
          </cell>
          <cell r="C23">
            <v>11157370</v>
          </cell>
          <cell r="D23">
            <v>0</v>
          </cell>
          <cell r="E23">
            <v>11157370</v>
          </cell>
          <cell r="F23">
            <v>0</v>
          </cell>
          <cell r="G23">
            <v>11157370</v>
          </cell>
          <cell r="H23">
            <v>0</v>
          </cell>
          <cell r="I23">
            <v>0</v>
          </cell>
          <cell r="J23">
            <v>-11157370</v>
          </cell>
        </row>
        <row r="24">
          <cell r="A24" t="str">
            <v>1-1-20-01-006  FONDOS MUTUOS BCI PESOS</v>
          </cell>
          <cell r="B24">
            <v>201761</v>
          </cell>
          <cell r="C24">
            <v>0</v>
          </cell>
          <cell r="D24">
            <v>201761</v>
          </cell>
          <cell r="E24">
            <v>0</v>
          </cell>
          <cell r="F24">
            <v>201761</v>
          </cell>
          <cell r="G24">
            <v>0</v>
          </cell>
          <cell r="H24">
            <v>0</v>
          </cell>
          <cell r="I24">
            <v>0</v>
          </cell>
          <cell r="J24">
            <v>201761</v>
          </cell>
        </row>
        <row r="25">
          <cell r="A25" t="str">
            <v>1-1-20-04-004  INVERSIONES FI BTG PACTUAL RENTAS EN PESOS</v>
          </cell>
          <cell r="B25">
            <v>0</v>
          </cell>
          <cell r="C25">
            <v>14795549</v>
          </cell>
          <cell r="D25">
            <v>0</v>
          </cell>
          <cell r="E25">
            <v>14795549</v>
          </cell>
          <cell r="F25">
            <v>0</v>
          </cell>
          <cell r="G25">
            <v>14795549</v>
          </cell>
          <cell r="H25">
            <v>0</v>
          </cell>
          <cell r="I25">
            <v>0</v>
          </cell>
          <cell r="J25">
            <v>-14795549</v>
          </cell>
        </row>
        <row r="26">
          <cell r="A26" t="str">
            <v>1-1-20-04-005  INVERSIONES BTG FONDO MINING EN DOLARES</v>
          </cell>
          <cell r="B26">
            <v>4</v>
          </cell>
          <cell r="C26">
            <v>0</v>
          </cell>
          <cell r="D26">
            <v>4</v>
          </cell>
          <cell r="E26">
            <v>0</v>
          </cell>
          <cell r="F26">
            <v>4</v>
          </cell>
          <cell r="G26">
            <v>0</v>
          </cell>
          <cell r="H26">
            <v>0</v>
          </cell>
          <cell r="I26">
            <v>0</v>
          </cell>
          <cell r="J26">
            <v>4</v>
          </cell>
        </row>
        <row r="27">
          <cell r="A27" t="str">
            <v>1-1-20-04-006  BANCHILE CORREDORES DE BOLSA DOLARES</v>
          </cell>
          <cell r="B27">
            <v>0</v>
          </cell>
          <cell r="C27">
            <v>21643</v>
          </cell>
          <cell r="D27">
            <v>0</v>
          </cell>
          <cell r="E27">
            <v>21643</v>
          </cell>
          <cell r="F27">
            <v>0</v>
          </cell>
          <cell r="G27">
            <v>21643</v>
          </cell>
          <cell r="H27">
            <v>0</v>
          </cell>
          <cell r="I27">
            <v>0</v>
          </cell>
          <cell r="J27">
            <v>-21643</v>
          </cell>
        </row>
        <row r="28">
          <cell r="A28" t="str">
            <v>1-1-20-04-009  ACCIONES BCI CORREDOR BOLSA</v>
          </cell>
          <cell r="B28">
            <v>0</v>
          </cell>
          <cell r="C28">
            <v>9662189</v>
          </cell>
          <cell r="D28">
            <v>0</v>
          </cell>
          <cell r="E28">
            <v>9662189</v>
          </cell>
          <cell r="F28">
            <v>0</v>
          </cell>
          <cell r="G28">
            <v>9662189</v>
          </cell>
          <cell r="H28">
            <v>0</v>
          </cell>
          <cell r="I28">
            <v>0</v>
          </cell>
          <cell r="J28">
            <v>-9662189</v>
          </cell>
        </row>
        <row r="29">
          <cell r="A29" t="str">
            <v>1-1-20-04-010  INVERSION  NEO-RENTAS ADM.</v>
          </cell>
          <cell r="B29">
            <v>287583484</v>
          </cell>
          <cell r="C29">
            <v>0</v>
          </cell>
          <cell r="D29">
            <v>287583484</v>
          </cell>
          <cell r="E29">
            <v>0</v>
          </cell>
          <cell r="F29">
            <v>287583484</v>
          </cell>
          <cell r="G29">
            <v>0</v>
          </cell>
          <cell r="H29">
            <v>0</v>
          </cell>
          <cell r="I29">
            <v>0</v>
          </cell>
          <cell r="J29">
            <v>287583484</v>
          </cell>
        </row>
        <row r="30">
          <cell r="A30" t="str">
            <v>1-1-20-04-013  FONDO MUTUO BTG MONEY MARKET PESOS</v>
          </cell>
          <cell r="B30">
            <v>12</v>
          </cell>
          <cell r="C30">
            <v>0</v>
          </cell>
          <cell r="D30">
            <v>12</v>
          </cell>
          <cell r="E30">
            <v>0</v>
          </cell>
          <cell r="F30">
            <v>12</v>
          </cell>
          <cell r="G30">
            <v>0</v>
          </cell>
          <cell r="H30">
            <v>0</v>
          </cell>
          <cell r="I30">
            <v>0</v>
          </cell>
          <cell r="J30">
            <v>12</v>
          </cell>
        </row>
        <row r="31">
          <cell r="A31" t="str">
            <v>1-1-30-01-004  POVISION INGRESOS</v>
          </cell>
          <cell r="B31">
            <v>208830260</v>
          </cell>
          <cell r="C31">
            <v>232728103</v>
          </cell>
          <cell r="D31">
            <v>0</v>
          </cell>
          <cell r="E31">
            <v>23897843</v>
          </cell>
          <cell r="F31">
            <v>0</v>
          </cell>
          <cell r="G31">
            <v>23897843</v>
          </cell>
          <cell r="H31">
            <v>0</v>
          </cell>
          <cell r="I31">
            <v>0</v>
          </cell>
          <cell r="J31">
            <v>-23897843</v>
          </cell>
        </row>
        <row r="32">
          <cell r="A32" t="str">
            <v>1-1-30-01-005  CLIENTES 2</v>
          </cell>
          <cell r="B32">
            <v>1314748930</v>
          </cell>
          <cell r="C32">
            <v>1306458173</v>
          </cell>
          <cell r="D32">
            <v>8290757</v>
          </cell>
          <cell r="E32">
            <v>0</v>
          </cell>
          <cell r="F32">
            <v>8290757</v>
          </cell>
          <cell r="G32">
            <v>0</v>
          </cell>
          <cell r="H32">
            <v>0</v>
          </cell>
          <cell r="I32">
            <v>0</v>
          </cell>
          <cell r="J32">
            <v>8290757</v>
          </cell>
        </row>
        <row r="33">
          <cell r="A33" t="str">
            <v>1-1-30-01-008  CHEQUE EN CARTERAS (PLAN DE PAGO CLIENTES)</v>
          </cell>
          <cell r="B33">
            <v>18457663</v>
          </cell>
          <cell r="C33">
            <v>3174469</v>
          </cell>
          <cell r="D33">
            <v>15283194</v>
          </cell>
          <cell r="E33">
            <v>0</v>
          </cell>
          <cell r="F33">
            <v>15283194</v>
          </cell>
          <cell r="G33">
            <v>0</v>
          </cell>
          <cell r="H33">
            <v>0</v>
          </cell>
          <cell r="I33">
            <v>0</v>
          </cell>
          <cell r="J33">
            <v>15283194</v>
          </cell>
        </row>
        <row r="34">
          <cell r="A34" t="str">
            <v>1-1-40-01-010  CTA X COBRAR INV.PRIME CAPITAL INTERNACIONAL (EX SEGOVIA SA)</v>
          </cell>
          <cell r="B34">
            <v>0</v>
          </cell>
          <cell r="C34">
            <v>14243394</v>
          </cell>
          <cell r="D34">
            <v>0</v>
          </cell>
          <cell r="E34">
            <v>14243394</v>
          </cell>
          <cell r="F34">
            <v>0</v>
          </cell>
          <cell r="G34">
            <v>14243394</v>
          </cell>
          <cell r="H34">
            <v>0</v>
          </cell>
          <cell r="I34">
            <v>0</v>
          </cell>
          <cell r="J34">
            <v>-14243394</v>
          </cell>
        </row>
        <row r="35">
          <cell r="A35" t="str">
            <v>1-1-40-01-011  PRESTAMO INVERSIONES GRAN DESIERTO</v>
          </cell>
          <cell r="B35">
            <v>3024492</v>
          </cell>
          <cell r="C35">
            <v>0</v>
          </cell>
          <cell r="D35">
            <v>3024492</v>
          </cell>
          <cell r="E35">
            <v>0</v>
          </cell>
          <cell r="F35">
            <v>3024492</v>
          </cell>
          <cell r="G35">
            <v>0</v>
          </cell>
          <cell r="H35">
            <v>0</v>
          </cell>
          <cell r="I35">
            <v>0</v>
          </cell>
          <cell r="J35">
            <v>3024492</v>
          </cell>
        </row>
        <row r="36">
          <cell r="A36" t="str">
            <v>1-1-40-01-012  MUTUOS POR COBRAR</v>
          </cell>
          <cell r="B36">
            <v>650236</v>
          </cell>
          <cell r="C36">
            <v>0</v>
          </cell>
          <cell r="D36">
            <v>650236</v>
          </cell>
          <cell r="E36">
            <v>0</v>
          </cell>
          <cell r="F36">
            <v>650236</v>
          </cell>
          <cell r="G36">
            <v>0</v>
          </cell>
          <cell r="H36">
            <v>0</v>
          </cell>
          <cell r="I36">
            <v>0</v>
          </cell>
          <cell r="J36">
            <v>650236</v>
          </cell>
        </row>
        <row r="37">
          <cell r="A37" t="str">
            <v>1-1-40-01-014  CTA X COBRAR ISF DOLAR</v>
          </cell>
          <cell r="B37">
            <v>0</v>
          </cell>
          <cell r="C37">
            <v>22184898</v>
          </cell>
          <cell r="D37">
            <v>0</v>
          </cell>
          <cell r="E37">
            <v>22184898</v>
          </cell>
          <cell r="F37">
            <v>0</v>
          </cell>
          <cell r="G37">
            <v>22184898</v>
          </cell>
          <cell r="H37">
            <v>0</v>
          </cell>
          <cell r="I37">
            <v>0</v>
          </cell>
          <cell r="J37">
            <v>-22184898</v>
          </cell>
        </row>
        <row r="38">
          <cell r="A38" t="str">
            <v>1-1-40-01-015  CTA POR COBRAR ISF FLORIDA HOLDINGS MIAMI</v>
          </cell>
          <cell r="B38">
            <v>0</v>
          </cell>
          <cell r="C38">
            <v>968000</v>
          </cell>
          <cell r="D38">
            <v>0</v>
          </cell>
          <cell r="E38">
            <v>968000</v>
          </cell>
          <cell r="F38">
            <v>0</v>
          </cell>
          <cell r="G38">
            <v>968000</v>
          </cell>
          <cell r="H38">
            <v>0</v>
          </cell>
          <cell r="I38">
            <v>0</v>
          </cell>
          <cell r="J38">
            <v>-968000</v>
          </cell>
        </row>
        <row r="39">
          <cell r="A39" t="str">
            <v>1-1-40-01-016  PRESTAMOS A OPERADORES</v>
          </cell>
          <cell r="B39">
            <v>0</v>
          </cell>
          <cell r="C39">
            <v>1000000</v>
          </cell>
          <cell r="D39">
            <v>0</v>
          </cell>
          <cell r="E39">
            <v>1000000</v>
          </cell>
          <cell r="F39">
            <v>0</v>
          </cell>
          <cell r="G39">
            <v>1000000</v>
          </cell>
          <cell r="H39">
            <v>0</v>
          </cell>
          <cell r="I39">
            <v>0</v>
          </cell>
          <cell r="J39">
            <v>-1000000</v>
          </cell>
        </row>
        <row r="40">
          <cell r="A40" t="str">
            <v>1-1-40-01-017  ANTICIPO PROVEEDOR 3</v>
          </cell>
          <cell r="B40">
            <v>53653919</v>
          </cell>
          <cell r="C40">
            <v>48022335</v>
          </cell>
          <cell r="D40">
            <v>5631584</v>
          </cell>
          <cell r="E40">
            <v>0</v>
          </cell>
          <cell r="F40">
            <v>5631584</v>
          </cell>
          <cell r="G40">
            <v>0</v>
          </cell>
          <cell r="H40">
            <v>0</v>
          </cell>
          <cell r="I40">
            <v>0</v>
          </cell>
          <cell r="J40">
            <v>5631584</v>
          </cell>
        </row>
        <row r="41">
          <cell r="A41" t="str">
            <v>1-1-40-01-018  ANTICIPO HONORARIOS 3</v>
          </cell>
          <cell r="B41">
            <v>783000</v>
          </cell>
          <cell r="C41">
            <v>783000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1-1-40-01-019  CTA X COBRAR ERIC WAGHORN VITAR</v>
          </cell>
          <cell r="B42">
            <v>55000000</v>
          </cell>
          <cell r="C42">
            <v>0</v>
          </cell>
          <cell r="D42">
            <v>55000000</v>
          </cell>
          <cell r="E42">
            <v>0</v>
          </cell>
          <cell r="F42">
            <v>55000000</v>
          </cell>
          <cell r="G42">
            <v>0</v>
          </cell>
          <cell r="H42">
            <v>0</v>
          </cell>
          <cell r="I42">
            <v>0</v>
          </cell>
          <cell r="J42">
            <v>55000000</v>
          </cell>
        </row>
        <row r="43">
          <cell r="A43" t="str">
            <v>1-1-40-01-020  ANTICIPO SUELDO (2)</v>
          </cell>
          <cell r="B43">
            <v>6430000</v>
          </cell>
          <cell r="C43">
            <v>6430000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1-1-50-01-005  PAGARE POR COBRAR DOLE</v>
          </cell>
          <cell r="B44">
            <v>1187507</v>
          </cell>
          <cell r="C44">
            <v>4792454</v>
          </cell>
          <cell r="D44">
            <v>0</v>
          </cell>
          <cell r="E44">
            <v>3604947</v>
          </cell>
          <cell r="F44">
            <v>0</v>
          </cell>
          <cell r="G44">
            <v>3604947</v>
          </cell>
          <cell r="H44">
            <v>0</v>
          </cell>
          <cell r="I44">
            <v>0</v>
          </cell>
          <cell r="J44">
            <v>-3604947</v>
          </cell>
        </row>
        <row r="45">
          <cell r="A45" t="str">
            <v>1-1-50-01-006  CTA, POR COBRAR DINAMITY</v>
          </cell>
          <cell r="B45">
            <v>20189294</v>
          </cell>
          <cell r="C45">
            <v>0</v>
          </cell>
          <cell r="D45">
            <v>20189294</v>
          </cell>
          <cell r="E45">
            <v>0</v>
          </cell>
          <cell r="F45">
            <v>20189294</v>
          </cell>
          <cell r="G45">
            <v>0</v>
          </cell>
          <cell r="H45">
            <v>0</v>
          </cell>
          <cell r="I45">
            <v>0</v>
          </cell>
          <cell r="J45">
            <v>20189294</v>
          </cell>
        </row>
        <row r="46">
          <cell r="A46" t="str">
            <v>1-1-50-01-007  PAGARES POR COBRAR INMOBILIARIA CUATRO</v>
          </cell>
          <cell r="B46">
            <v>4008992</v>
          </cell>
          <cell r="C46">
            <v>3620904</v>
          </cell>
          <cell r="D46">
            <v>388088</v>
          </cell>
          <cell r="E46">
            <v>0</v>
          </cell>
          <cell r="F46">
            <v>388088</v>
          </cell>
          <cell r="G46">
            <v>0</v>
          </cell>
          <cell r="H46">
            <v>0</v>
          </cell>
          <cell r="I46">
            <v>0</v>
          </cell>
          <cell r="J46">
            <v>388088</v>
          </cell>
        </row>
        <row r="47">
          <cell r="A47" t="str">
            <v>1-1-50-01-008  CUENTA POR COBRAR INMOB VALDEPEÑAS SPA</v>
          </cell>
          <cell r="B47">
            <v>13359791</v>
          </cell>
          <cell r="C47">
            <v>0</v>
          </cell>
          <cell r="D47">
            <v>13359791</v>
          </cell>
          <cell r="E47">
            <v>0</v>
          </cell>
          <cell r="F47">
            <v>13359791</v>
          </cell>
          <cell r="G47">
            <v>0</v>
          </cell>
          <cell r="H47">
            <v>0</v>
          </cell>
          <cell r="I47">
            <v>0</v>
          </cell>
          <cell r="J47">
            <v>13359791</v>
          </cell>
        </row>
        <row r="48">
          <cell r="A48" t="str">
            <v>1-1-50-01-009  CUENTA POR COBRAR INMOB LIRCAY SPA</v>
          </cell>
          <cell r="B48">
            <v>6828650</v>
          </cell>
          <cell r="C48">
            <v>0</v>
          </cell>
          <cell r="D48">
            <v>6828650</v>
          </cell>
          <cell r="E48">
            <v>0</v>
          </cell>
          <cell r="F48">
            <v>6828650</v>
          </cell>
          <cell r="G48">
            <v>0</v>
          </cell>
          <cell r="H48">
            <v>0</v>
          </cell>
          <cell r="I48">
            <v>0</v>
          </cell>
          <cell r="J48">
            <v>6828650</v>
          </cell>
        </row>
        <row r="49">
          <cell r="A49" t="str">
            <v>1-1-60-01-001  INT. DIF. LEASING VALPO- C/P</v>
          </cell>
          <cell r="B49">
            <v>0</v>
          </cell>
          <cell r="C49">
            <v>476798</v>
          </cell>
          <cell r="D49">
            <v>0</v>
          </cell>
          <cell r="E49">
            <v>476798</v>
          </cell>
          <cell r="F49">
            <v>0</v>
          </cell>
          <cell r="G49">
            <v>476798</v>
          </cell>
          <cell r="H49">
            <v>0</v>
          </cell>
          <cell r="I49">
            <v>0</v>
          </cell>
          <cell r="J49">
            <v>-476798</v>
          </cell>
        </row>
        <row r="50">
          <cell r="A50" t="str">
            <v>1-1-60-01-002  INT. DIF. LEASING CAUQUENES C/P</v>
          </cell>
          <cell r="B50">
            <v>0</v>
          </cell>
          <cell r="C50">
            <v>370114</v>
          </cell>
          <cell r="D50">
            <v>0</v>
          </cell>
          <cell r="E50">
            <v>370114</v>
          </cell>
          <cell r="F50">
            <v>0</v>
          </cell>
          <cell r="G50">
            <v>370114</v>
          </cell>
          <cell r="H50">
            <v>0</v>
          </cell>
          <cell r="I50">
            <v>0</v>
          </cell>
          <cell r="J50">
            <v>-370114</v>
          </cell>
        </row>
        <row r="51">
          <cell r="A51" t="str">
            <v>1-1-60-01-003  INTERES DIF.LEASING-OUTLET C/P</v>
          </cell>
          <cell r="B51">
            <v>0</v>
          </cell>
          <cell r="C51">
            <v>1585713</v>
          </cell>
          <cell r="D51">
            <v>0</v>
          </cell>
          <cell r="E51">
            <v>1585713</v>
          </cell>
          <cell r="F51">
            <v>0</v>
          </cell>
          <cell r="G51">
            <v>1585713</v>
          </cell>
          <cell r="H51">
            <v>0</v>
          </cell>
          <cell r="I51">
            <v>0</v>
          </cell>
          <cell r="J51">
            <v>-1585713</v>
          </cell>
        </row>
        <row r="52">
          <cell r="A52" t="str">
            <v>1-1-60-01-011  INT.DIF.LEASING VALPO L/P</v>
          </cell>
          <cell r="B52">
            <v>0</v>
          </cell>
          <cell r="C52">
            <v>4387818</v>
          </cell>
          <cell r="D52">
            <v>0</v>
          </cell>
          <cell r="E52">
            <v>4387818</v>
          </cell>
          <cell r="F52">
            <v>0</v>
          </cell>
          <cell r="G52">
            <v>4387818</v>
          </cell>
          <cell r="H52">
            <v>0</v>
          </cell>
          <cell r="I52">
            <v>0</v>
          </cell>
          <cell r="J52">
            <v>-4387818</v>
          </cell>
        </row>
        <row r="53">
          <cell r="A53" t="str">
            <v>1-1-60-01-012  INT.DIF.LEASING CAUQUENES L/P</v>
          </cell>
          <cell r="B53">
            <v>0</v>
          </cell>
          <cell r="C53">
            <v>3508909</v>
          </cell>
          <cell r="D53">
            <v>0</v>
          </cell>
          <cell r="E53">
            <v>3508909</v>
          </cell>
          <cell r="F53">
            <v>0</v>
          </cell>
          <cell r="G53">
            <v>3508909</v>
          </cell>
          <cell r="H53">
            <v>0</v>
          </cell>
          <cell r="I53">
            <v>0</v>
          </cell>
          <cell r="J53">
            <v>-3508909</v>
          </cell>
        </row>
        <row r="54">
          <cell r="A54" t="str">
            <v>1-1-60-01-013  INTERES DIF. LEASING OUTLET-L/P</v>
          </cell>
          <cell r="B54">
            <v>0</v>
          </cell>
          <cell r="C54">
            <v>78305036</v>
          </cell>
          <cell r="D54">
            <v>0</v>
          </cell>
          <cell r="E54">
            <v>78305036</v>
          </cell>
          <cell r="F54">
            <v>0</v>
          </cell>
          <cell r="G54">
            <v>78305036</v>
          </cell>
          <cell r="H54">
            <v>0</v>
          </cell>
          <cell r="I54">
            <v>0</v>
          </cell>
          <cell r="J54">
            <v>-78305036</v>
          </cell>
        </row>
        <row r="55">
          <cell r="A55" t="str">
            <v>1-1-60-01-014  INTERESES DIF VEHICULOS LEASING CP</v>
          </cell>
          <cell r="B55">
            <v>0</v>
          </cell>
          <cell r="C55">
            <v>1501129</v>
          </cell>
          <cell r="D55">
            <v>0</v>
          </cell>
          <cell r="E55">
            <v>1501129</v>
          </cell>
          <cell r="F55">
            <v>0</v>
          </cell>
          <cell r="G55">
            <v>1501129</v>
          </cell>
          <cell r="H55">
            <v>0</v>
          </cell>
          <cell r="I55">
            <v>0</v>
          </cell>
          <cell r="J55">
            <v>-1501129</v>
          </cell>
        </row>
        <row r="56">
          <cell r="A56" t="str">
            <v>1-1-60-01-015  INTERESES DIF VEHICULOS LEASING LP</v>
          </cell>
          <cell r="B56">
            <v>0</v>
          </cell>
          <cell r="C56">
            <v>458552</v>
          </cell>
          <cell r="D56">
            <v>0</v>
          </cell>
          <cell r="E56">
            <v>458552</v>
          </cell>
          <cell r="F56">
            <v>0</v>
          </cell>
          <cell r="G56">
            <v>458552</v>
          </cell>
          <cell r="H56">
            <v>0</v>
          </cell>
          <cell r="I56">
            <v>0</v>
          </cell>
          <cell r="J56">
            <v>-458552</v>
          </cell>
        </row>
        <row r="57">
          <cell r="A57" t="str">
            <v>1-1-60-01-016  INTER DIF  HIPOTECARIO LOS MORROS CP</v>
          </cell>
          <cell r="B57">
            <v>0</v>
          </cell>
          <cell r="C57">
            <v>789042</v>
          </cell>
          <cell r="D57">
            <v>0</v>
          </cell>
          <cell r="E57">
            <v>789042</v>
          </cell>
          <cell r="F57">
            <v>0</v>
          </cell>
          <cell r="G57">
            <v>789042</v>
          </cell>
          <cell r="H57">
            <v>0</v>
          </cell>
          <cell r="I57">
            <v>0</v>
          </cell>
          <cell r="J57">
            <v>-789042</v>
          </cell>
        </row>
        <row r="58">
          <cell r="A58" t="str">
            <v>1-1-60-01-017  INTER DIF HIPOTECARIO LOS MORROS LP</v>
          </cell>
          <cell r="B58">
            <v>0</v>
          </cell>
          <cell r="C58">
            <v>23089074</v>
          </cell>
          <cell r="D58">
            <v>0</v>
          </cell>
          <cell r="E58">
            <v>23089074</v>
          </cell>
          <cell r="F58">
            <v>0</v>
          </cell>
          <cell r="G58">
            <v>23089074</v>
          </cell>
          <cell r="H58">
            <v>0</v>
          </cell>
          <cell r="I58">
            <v>0</v>
          </cell>
          <cell r="J58">
            <v>-23089074</v>
          </cell>
        </row>
        <row r="59">
          <cell r="A59" t="str">
            <v>1-1-60-01-018  INTERESES DIF INTERNACIONAL CP M$600</v>
          </cell>
          <cell r="B59">
            <v>0</v>
          </cell>
          <cell r="C59">
            <v>4173192</v>
          </cell>
          <cell r="D59">
            <v>0</v>
          </cell>
          <cell r="E59">
            <v>4173192</v>
          </cell>
          <cell r="F59">
            <v>0</v>
          </cell>
          <cell r="G59">
            <v>4173192</v>
          </cell>
          <cell r="H59">
            <v>0</v>
          </cell>
          <cell r="I59">
            <v>0</v>
          </cell>
          <cell r="J59">
            <v>-4173192</v>
          </cell>
        </row>
        <row r="60">
          <cell r="A60" t="str">
            <v>1-1-60-01-019  INTERESES DIF INTERNACIONAL LP M$600</v>
          </cell>
          <cell r="B60">
            <v>0</v>
          </cell>
          <cell r="C60">
            <v>2382679</v>
          </cell>
          <cell r="D60">
            <v>0</v>
          </cell>
          <cell r="E60">
            <v>2382679</v>
          </cell>
          <cell r="F60">
            <v>0</v>
          </cell>
          <cell r="G60">
            <v>2382679</v>
          </cell>
          <cell r="H60">
            <v>0</v>
          </cell>
          <cell r="I60">
            <v>0</v>
          </cell>
          <cell r="J60">
            <v>-2382679</v>
          </cell>
        </row>
        <row r="61">
          <cell r="A61" t="str">
            <v>1-1-70-01-001  IVA CREDITO FISCAL</v>
          </cell>
          <cell r="B61">
            <v>108000693</v>
          </cell>
          <cell r="C61">
            <v>108000694</v>
          </cell>
          <cell r="D61">
            <v>0</v>
          </cell>
          <cell r="E61">
            <v>1</v>
          </cell>
          <cell r="F61">
            <v>0</v>
          </cell>
          <cell r="G61">
            <v>1</v>
          </cell>
          <cell r="H61">
            <v>0</v>
          </cell>
          <cell r="I61">
            <v>0</v>
          </cell>
          <cell r="J61">
            <v>-1</v>
          </cell>
        </row>
        <row r="62">
          <cell r="A62" t="str">
            <v>1-1-70-01-002  PAGOS PROVISIONALES MENSUALES</v>
          </cell>
          <cell r="B62">
            <v>0</v>
          </cell>
          <cell r="C62">
            <v>66151529</v>
          </cell>
          <cell r="D62">
            <v>0</v>
          </cell>
          <cell r="E62">
            <v>66151529</v>
          </cell>
          <cell r="F62">
            <v>0</v>
          </cell>
          <cell r="G62">
            <v>66151529</v>
          </cell>
          <cell r="H62">
            <v>0</v>
          </cell>
          <cell r="I62">
            <v>0</v>
          </cell>
          <cell r="J62">
            <v>-66151529</v>
          </cell>
        </row>
        <row r="63">
          <cell r="A63" t="str">
            <v>1-1-70-01-010  INTER. DIF. LEASING 1 SUR 1990 CP</v>
          </cell>
          <cell r="B63">
            <v>0</v>
          </cell>
          <cell r="C63">
            <v>599087</v>
          </cell>
          <cell r="D63">
            <v>0</v>
          </cell>
          <cell r="E63">
            <v>599087</v>
          </cell>
          <cell r="F63">
            <v>0</v>
          </cell>
          <cell r="G63">
            <v>599087</v>
          </cell>
          <cell r="H63">
            <v>0</v>
          </cell>
          <cell r="I63">
            <v>0</v>
          </cell>
          <cell r="J63">
            <v>-599087</v>
          </cell>
        </row>
        <row r="64">
          <cell r="A64" t="str">
            <v>1-1-70-01-011  INTER. DIF. LEASING SAN JAVIER CP</v>
          </cell>
          <cell r="B64">
            <v>0</v>
          </cell>
          <cell r="C64">
            <v>515114</v>
          </cell>
          <cell r="D64">
            <v>0</v>
          </cell>
          <cell r="E64">
            <v>515114</v>
          </cell>
          <cell r="F64">
            <v>0</v>
          </cell>
          <cell r="G64">
            <v>515114</v>
          </cell>
          <cell r="H64">
            <v>0</v>
          </cell>
          <cell r="I64">
            <v>0</v>
          </cell>
          <cell r="J64">
            <v>-515114</v>
          </cell>
        </row>
        <row r="65">
          <cell r="A65" t="str">
            <v>1-1-70-01-012  INTER. DIF. LEASING COLIN 0240 CP</v>
          </cell>
          <cell r="B65">
            <v>0</v>
          </cell>
          <cell r="C65">
            <v>969518</v>
          </cell>
          <cell r="D65">
            <v>0</v>
          </cell>
          <cell r="E65">
            <v>969518</v>
          </cell>
          <cell r="F65">
            <v>0</v>
          </cell>
          <cell r="G65">
            <v>969518</v>
          </cell>
          <cell r="H65">
            <v>0</v>
          </cell>
          <cell r="I65">
            <v>0</v>
          </cell>
          <cell r="J65">
            <v>-969518</v>
          </cell>
        </row>
        <row r="66">
          <cell r="A66" t="str">
            <v>1-1-70-01-013  INTER. DIF. LEASING C. SATELITE CP</v>
          </cell>
          <cell r="B66">
            <v>0</v>
          </cell>
          <cell r="C66">
            <v>1425364</v>
          </cell>
          <cell r="D66">
            <v>0</v>
          </cell>
          <cell r="E66">
            <v>1425364</v>
          </cell>
          <cell r="F66">
            <v>0</v>
          </cell>
          <cell r="G66">
            <v>1425364</v>
          </cell>
          <cell r="H66">
            <v>0</v>
          </cell>
          <cell r="I66">
            <v>0</v>
          </cell>
          <cell r="J66">
            <v>-1425364</v>
          </cell>
        </row>
        <row r="67">
          <cell r="A67" t="str">
            <v>1-1-70-01-014  INTER. DIF. LEASING 11 ORIENTE CP</v>
          </cell>
          <cell r="B67">
            <v>0</v>
          </cell>
          <cell r="C67">
            <v>934538</v>
          </cell>
          <cell r="D67">
            <v>0</v>
          </cell>
          <cell r="E67">
            <v>934538</v>
          </cell>
          <cell r="F67">
            <v>0</v>
          </cell>
          <cell r="G67">
            <v>934538</v>
          </cell>
          <cell r="H67">
            <v>0</v>
          </cell>
          <cell r="I67">
            <v>0</v>
          </cell>
          <cell r="J67">
            <v>-934538</v>
          </cell>
        </row>
        <row r="68">
          <cell r="A68" t="str">
            <v>1-1-70-01-015  INTER. DIF. LEASING MAIPU 556 CP</v>
          </cell>
          <cell r="B68">
            <v>0</v>
          </cell>
          <cell r="C68">
            <v>827096</v>
          </cell>
          <cell r="D68">
            <v>0</v>
          </cell>
          <cell r="E68">
            <v>827096</v>
          </cell>
          <cell r="F68">
            <v>0</v>
          </cell>
          <cell r="G68">
            <v>827096</v>
          </cell>
          <cell r="H68">
            <v>0</v>
          </cell>
          <cell r="I68">
            <v>0</v>
          </cell>
          <cell r="J68">
            <v>-827096</v>
          </cell>
        </row>
        <row r="69">
          <cell r="A69" t="str">
            <v>1-1-70-01-016  INTER. DIF. LEASING BRASIL 648 CP</v>
          </cell>
          <cell r="B69">
            <v>0</v>
          </cell>
          <cell r="C69">
            <v>634106</v>
          </cell>
          <cell r="D69">
            <v>0</v>
          </cell>
          <cell r="E69">
            <v>634106</v>
          </cell>
          <cell r="F69">
            <v>0</v>
          </cell>
          <cell r="G69">
            <v>634106</v>
          </cell>
          <cell r="H69">
            <v>0</v>
          </cell>
          <cell r="I69">
            <v>0</v>
          </cell>
          <cell r="J69">
            <v>-634106</v>
          </cell>
        </row>
        <row r="70">
          <cell r="A70" t="str">
            <v>1-1-70-01-017  INTER. DIF. LEASING VIAL 224 CP</v>
          </cell>
          <cell r="B70">
            <v>0</v>
          </cell>
          <cell r="C70">
            <v>758171</v>
          </cell>
          <cell r="D70">
            <v>0</v>
          </cell>
          <cell r="E70">
            <v>758171</v>
          </cell>
          <cell r="F70">
            <v>0</v>
          </cell>
          <cell r="G70">
            <v>758171</v>
          </cell>
          <cell r="H70">
            <v>0</v>
          </cell>
          <cell r="I70">
            <v>0</v>
          </cell>
          <cell r="J70">
            <v>-758171</v>
          </cell>
        </row>
        <row r="71">
          <cell r="A71" t="str">
            <v>1-1-70-01-018  INTER. DIF. LEASING TALCA COLIN CP</v>
          </cell>
          <cell r="B71">
            <v>0</v>
          </cell>
          <cell r="C71">
            <v>7603747</v>
          </cell>
          <cell r="D71">
            <v>0</v>
          </cell>
          <cell r="E71">
            <v>7603747</v>
          </cell>
          <cell r="F71">
            <v>0</v>
          </cell>
          <cell r="G71">
            <v>7603747</v>
          </cell>
          <cell r="H71">
            <v>0</v>
          </cell>
          <cell r="I71">
            <v>0</v>
          </cell>
          <cell r="J71">
            <v>-7603747</v>
          </cell>
        </row>
        <row r="72">
          <cell r="A72" t="str">
            <v>1-1-70-01-019  INTER. DIF. HIPOTECARIO CP</v>
          </cell>
          <cell r="B72">
            <v>0</v>
          </cell>
          <cell r="C72">
            <v>1975378</v>
          </cell>
          <cell r="D72">
            <v>0</v>
          </cell>
          <cell r="E72">
            <v>1975378</v>
          </cell>
          <cell r="F72">
            <v>0</v>
          </cell>
          <cell r="G72">
            <v>1975378</v>
          </cell>
          <cell r="H72">
            <v>0</v>
          </cell>
          <cell r="I72">
            <v>0</v>
          </cell>
          <cell r="J72">
            <v>-1975378</v>
          </cell>
        </row>
        <row r="73">
          <cell r="A73" t="str">
            <v>1-1-70-01-020  REMANENTE CR FISCAL</v>
          </cell>
          <cell r="B73">
            <v>391735</v>
          </cell>
          <cell r="C73">
            <v>62513344</v>
          </cell>
          <cell r="D73">
            <v>0</v>
          </cell>
          <cell r="E73">
            <v>62121609</v>
          </cell>
          <cell r="F73">
            <v>0</v>
          </cell>
          <cell r="G73">
            <v>62121609</v>
          </cell>
          <cell r="H73">
            <v>0</v>
          </cell>
          <cell r="I73">
            <v>0</v>
          </cell>
          <cell r="J73">
            <v>-62121609</v>
          </cell>
        </row>
        <row r="74">
          <cell r="A74" t="str">
            <v>1-1-70-01-025  INTER. DIF. LEASING 11 ORIENTE LP</v>
          </cell>
          <cell r="B74">
            <v>0</v>
          </cell>
          <cell r="C74">
            <v>719719</v>
          </cell>
          <cell r="D74">
            <v>0</v>
          </cell>
          <cell r="E74">
            <v>719719</v>
          </cell>
          <cell r="F74">
            <v>0</v>
          </cell>
          <cell r="G74">
            <v>719719</v>
          </cell>
          <cell r="H74">
            <v>0</v>
          </cell>
          <cell r="I74">
            <v>0</v>
          </cell>
          <cell r="J74">
            <v>-719719</v>
          </cell>
        </row>
        <row r="75">
          <cell r="A75" t="str">
            <v>1-1-70-01-026  INTER. DIF. LEASING MAIPU 556 LP</v>
          </cell>
          <cell r="B75">
            <v>0</v>
          </cell>
          <cell r="C75">
            <v>636972</v>
          </cell>
          <cell r="D75">
            <v>0</v>
          </cell>
          <cell r="E75">
            <v>636972</v>
          </cell>
          <cell r="F75">
            <v>0</v>
          </cell>
          <cell r="G75">
            <v>636972</v>
          </cell>
          <cell r="H75">
            <v>0</v>
          </cell>
          <cell r="I75">
            <v>0</v>
          </cell>
          <cell r="J75">
            <v>-636972</v>
          </cell>
        </row>
        <row r="76">
          <cell r="A76" t="str">
            <v>1-1-70-01-027  INTER. DIF. LEASING BRASIL 648 LP</v>
          </cell>
          <cell r="B76">
            <v>0</v>
          </cell>
          <cell r="C76">
            <v>488345</v>
          </cell>
          <cell r="D76">
            <v>0</v>
          </cell>
          <cell r="E76">
            <v>488345</v>
          </cell>
          <cell r="F76">
            <v>0</v>
          </cell>
          <cell r="G76">
            <v>488345</v>
          </cell>
          <cell r="H76">
            <v>0</v>
          </cell>
          <cell r="I76">
            <v>0</v>
          </cell>
          <cell r="J76">
            <v>-488345</v>
          </cell>
        </row>
        <row r="77">
          <cell r="A77" t="str">
            <v>1-1-70-01-028  INTER. DIF. LEASING VIAL 224 LP</v>
          </cell>
          <cell r="B77">
            <v>0</v>
          </cell>
          <cell r="C77">
            <v>583892</v>
          </cell>
          <cell r="D77">
            <v>0</v>
          </cell>
          <cell r="E77">
            <v>583892</v>
          </cell>
          <cell r="F77">
            <v>0</v>
          </cell>
          <cell r="G77">
            <v>583892</v>
          </cell>
          <cell r="H77">
            <v>0</v>
          </cell>
          <cell r="I77">
            <v>0</v>
          </cell>
          <cell r="J77">
            <v>-583892</v>
          </cell>
        </row>
        <row r="78">
          <cell r="A78" t="str">
            <v>1-1-70-01-029  INTER. DIF. LEASING TALCA COLIN LP</v>
          </cell>
          <cell r="B78">
            <v>0</v>
          </cell>
          <cell r="C78">
            <v>12838044</v>
          </cell>
          <cell r="D78">
            <v>0</v>
          </cell>
          <cell r="E78">
            <v>12838044</v>
          </cell>
          <cell r="F78">
            <v>0</v>
          </cell>
          <cell r="G78">
            <v>12838044</v>
          </cell>
          <cell r="H78">
            <v>0</v>
          </cell>
          <cell r="I78">
            <v>0</v>
          </cell>
          <cell r="J78">
            <v>-12838044</v>
          </cell>
        </row>
        <row r="79">
          <cell r="A79" t="str">
            <v>1-2-01-05-018  PREDIO- EL RETIRO PARRAL</v>
          </cell>
          <cell r="B79">
            <v>0</v>
          </cell>
          <cell r="C79">
            <v>155243660</v>
          </cell>
          <cell r="D79">
            <v>0</v>
          </cell>
          <cell r="E79">
            <v>155243660</v>
          </cell>
          <cell r="F79">
            <v>0</v>
          </cell>
          <cell r="G79">
            <v>155243660</v>
          </cell>
          <cell r="H79">
            <v>0</v>
          </cell>
          <cell r="I79">
            <v>0</v>
          </cell>
          <cell r="J79">
            <v>-155243660</v>
          </cell>
        </row>
        <row r="80">
          <cell r="A80" t="str">
            <v>1-2-01-08-010  DEPREC. ACUM.  ACTIVOS EN LEASING</v>
          </cell>
          <cell r="B80">
            <v>0</v>
          </cell>
          <cell r="C80">
            <v>367051112</v>
          </cell>
          <cell r="D80">
            <v>0</v>
          </cell>
          <cell r="E80">
            <v>367051112</v>
          </cell>
          <cell r="F80">
            <v>0</v>
          </cell>
          <cell r="G80">
            <v>367051112</v>
          </cell>
          <cell r="H80">
            <v>0</v>
          </cell>
          <cell r="I80">
            <v>0</v>
          </cell>
          <cell r="J80">
            <v>-367051112</v>
          </cell>
        </row>
        <row r="81">
          <cell r="A81" t="str">
            <v>1-2-01-09-001  PROYECTOS</v>
          </cell>
          <cell r="B81">
            <v>7796560</v>
          </cell>
          <cell r="C81">
            <v>0</v>
          </cell>
          <cell r="D81">
            <v>7796560</v>
          </cell>
          <cell r="E81">
            <v>0</v>
          </cell>
          <cell r="F81">
            <v>7796560</v>
          </cell>
          <cell r="G81">
            <v>0</v>
          </cell>
          <cell r="H81">
            <v>0</v>
          </cell>
          <cell r="I81">
            <v>0</v>
          </cell>
          <cell r="J81">
            <v>7796560</v>
          </cell>
        </row>
        <row r="82">
          <cell r="A82" t="str">
            <v>1-2-01-17-001  PROYECTO RETIRO</v>
          </cell>
          <cell r="B82">
            <v>0</v>
          </cell>
          <cell r="C82">
            <v>44647182</v>
          </cell>
          <cell r="D82">
            <v>0</v>
          </cell>
          <cell r="E82">
            <v>44647182</v>
          </cell>
          <cell r="F82">
            <v>0</v>
          </cell>
          <cell r="G82">
            <v>44647182</v>
          </cell>
          <cell r="H82">
            <v>0</v>
          </cell>
          <cell r="I82">
            <v>0</v>
          </cell>
          <cell r="J82">
            <v>-44647182</v>
          </cell>
        </row>
        <row r="83">
          <cell r="A83" t="str">
            <v>1-2-01-19-001  PROYECTO EL ALMENDRO TALCA</v>
          </cell>
          <cell r="B83">
            <v>816000</v>
          </cell>
          <cell r="C83">
            <v>0</v>
          </cell>
          <cell r="D83">
            <v>816000</v>
          </cell>
          <cell r="E83">
            <v>0</v>
          </cell>
          <cell r="F83">
            <v>816000</v>
          </cell>
          <cell r="G83">
            <v>0</v>
          </cell>
          <cell r="H83">
            <v>0</v>
          </cell>
          <cell r="I83">
            <v>0</v>
          </cell>
          <cell r="J83">
            <v>816000</v>
          </cell>
        </row>
        <row r="84">
          <cell r="A84" t="str">
            <v>1-2-02-01-001  DEP. ACUM. MUEBLES Y UTILES</v>
          </cell>
          <cell r="B84">
            <v>0</v>
          </cell>
          <cell r="C84">
            <v>2754900</v>
          </cell>
          <cell r="D84">
            <v>0</v>
          </cell>
          <cell r="E84">
            <v>2754900</v>
          </cell>
          <cell r="F84">
            <v>0</v>
          </cell>
          <cell r="G84">
            <v>2754900</v>
          </cell>
          <cell r="H84">
            <v>0</v>
          </cell>
          <cell r="I84">
            <v>0</v>
          </cell>
          <cell r="J84">
            <v>-2754900</v>
          </cell>
        </row>
        <row r="85">
          <cell r="A85" t="str">
            <v>1-2-02-02-001  DEP.ACUM. INSTALACIONES</v>
          </cell>
          <cell r="B85">
            <v>0</v>
          </cell>
          <cell r="C85">
            <v>84053</v>
          </cell>
          <cell r="D85">
            <v>0</v>
          </cell>
          <cell r="E85">
            <v>84053</v>
          </cell>
          <cell r="F85">
            <v>0</v>
          </cell>
          <cell r="G85">
            <v>84053</v>
          </cell>
          <cell r="H85">
            <v>0</v>
          </cell>
          <cell r="I85">
            <v>0</v>
          </cell>
          <cell r="J85">
            <v>-84053</v>
          </cell>
        </row>
        <row r="86">
          <cell r="A86" t="str">
            <v>1-2-02-05-001  DEP. ACUM. CONSTRUCCION PARRAL</v>
          </cell>
          <cell r="B86">
            <v>0</v>
          </cell>
          <cell r="C86">
            <v>2343349</v>
          </cell>
          <cell r="D86">
            <v>0</v>
          </cell>
          <cell r="E86">
            <v>2343349</v>
          </cell>
          <cell r="F86">
            <v>0</v>
          </cell>
          <cell r="G86">
            <v>2343349</v>
          </cell>
          <cell r="H86">
            <v>0</v>
          </cell>
          <cell r="I86">
            <v>0</v>
          </cell>
          <cell r="J86">
            <v>-2343349</v>
          </cell>
        </row>
        <row r="87">
          <cell r="A87" t="str">
            <v>1-2-02-05-002  DEP. ACUM. CONSTRUCCION LINARES</v>
          </cell>
          <cell r="B87">
            <v>0</v>
          </cell>
          <cell r="C87">
            <v>3002007</v>
          </cell>
          <cell r="D87">
            <v>0</v>
          </cell>
          <cell r="E87">
            <v>3002007</v>
          </cell>
          <cell r="F87">
            <v>0</v>
          </cell>
          <cell r="G87">
            <v>3002007</v>
          </cell>
          <cell r="H87">
            <v>0</v>
          </cell>
          <cell r="I87">
            <v>0</v>
          </cell>
          <cell r="J87">
            <v>-3002007</v>
          </cell>
        </row>
        <row r="88">
          <cell r="A88" t="str">
            <v>1-2-02-05-003  DEP. ACUM. CONSTRUCCION TALCA</v>
          </cell>
          <cell r="B88">
            <v>0</v>
          </cell>
          <cell r="C88">
            <v>10560575</v>
          </cell>
          <cell r="D88">
            <v>0</v>
          </cell>
          <cell r="E88">
            <v>10560575</v>
          </cell>
          <cell r="F88">
            <v>0</v>
          </cell>
          <cell r="G88">
            <v>10560575</v>
          </cell>
          <cell r="H88">
            <v>0</v>
          </cell>
          <cell r="I88">
            <v>0</v>
          </cell>
          <cell r="J88">
            <v>-10560575</v>
          </cell>
        </row>
        <row r="89">
          <cell r="A89" t="str">
            <v>1-2-02-05-004  DEP. ACUM. CONSTRUCCION RENCA</v>
          </cell>
          <cell r="B89">
            <v>0</v>
          </cell>
          <cell r="C89">
            <v>6598901</v>
          </cell>
          <cell r="D89">
            <v>0</v>
          </cell>
          <cell r="E89">
            <v>6598901</v>
          </cell>
          <cell r="F89">
            <v>0</v>
          </cell>
          <cell r="G89">
            <v>6598901</v>
          </cell>
          <cell r="H89">
            <v>0</v>
          </cell>
          <cell r="I89">
            <v>0</v>
          </cell>
          <cell r="J89">
            <v>-6598901</v>
          </cell>
        </row>
        <row r="90">
          <cell r="A90" t="str">
            <v>1-2-02-05-005  DEP. ACUM. CONSTRUCCION VICENTE VALDES</v>
          </cell>
          <cell r="B90">
            <v>0</v>
          </cell>
          <cell r="C90">
            <v>26482304</v>
          </cell>
          <cell r="D90">
            <v>0</v>
          </cell>
          <cell r="E90">
            <v>26482304</v>
          </cell>
          <cell r="F90">
            <v>0</v>
          </cell>
          <cell r="G90">
            <v>26482304</v>
          </cell>
          <cell r="H90">
            <v>0</v>
          </cell>
          <cell r="I90">
            <v>0</v>
          </cell>
          <cell r="J90">
            <v>-26482304</v>
          </cell>
        </row>
        <row r="91">
          <cell r="A91" t="str">
            <v>1-2-02-05-008  DEP. ACUM. CONSTRUCCION LOS MORROS</v>
          </cell>
          <cell r="B91">
            <v>0</v>
          </cell>
          <cell r="C91">
            <v>14513601</v>
          </cell>
          <cell r="D91">
            <v>0</v>
          </cell>
          <cell r="E91">
            <v>14513601</v>
          </cell>
          <cell r="F91">
            <v>0</v>
          </cell>
          <cell r="G91">
            <v>14513601</v>
          </cell>
          <cell r="H91">
            <v>0</v>
          </cell>
          <cell r="I91">
            <v>0</v>
          </cell>
          <cell r="J91">
            <v>-14513601</v>
          </cell>
        </row>
        <row r="92">
          <cell r="A92" t="str">
            <v>1-2-02-05-009  DEP. ACUM. CONSTRUCCION TALCA COLIN</v>
          </cell>
          <cell r="B92">
            <v>0</v>
          </cell>
          <cell r="C92">
            <v>25139666</v>
          </cell>
          <cell r="D92">
            <v>0</v>
          </cell>
          <cell r="E92">
            <v>25139666</v>
          </cell>
          <cell r="F92">
            <v>0</v>
          </cell>
          <cell r="G92">
            <v>25139666</v>
          </cell>
          <cell r="H92">
            <v>0</v>
          </cell>
          <cell r="I92">
            <v>0</v>
          </cell>
          <cell r="J92">
            <v>-25139666</v>
          </cell>
        </row>
        <row r="93">
          <cell r="A93" t="str">
            <v>1-2-02-05-010  DEP. ACUM. CONSTRUCCION TALAGANTE</v>
          </cell>
          <cell r="B93">
            <v>0</v>
          </cell>
          <cell r="C93">
            <v>11789725</v>
          </cell>
          <cell r="D93">
            <v>0</v>
          </cell>
          <cell r="E93">
            <v>11789725</v>
          </cell>
          <cell r="F93">
            <v>0</v>
          </cell>
          <cell r="G93">
            <v>11789725</v>
          </cell>
          <cell r="H93">
            <v>0</v>
          </cell>
          <cell r="I93">
            <v>0</v>
          </cell>
          <cell r="J93">
            <v>-11789725</v>
          </cell>
        </row>
        <row r="94">
          <cell r="A94" t="str">
            <v>1-2-02-05-011  DEP. ACUM. CONSTRUCCION J. ESPINOZA</v>
          </cell>
          <cell r="B94">
            <v>0</v>
          </cell>
          <cell r="C94">
            <v>11061699</v>
          </cell>
          <cell r="D94">
            <v>0</v>
          </cell>
          <cell r="E94">
            <v>11061699</v>
          </cell>
          <cell r="F94">
            <v>0</v>
          </cell>
          <cell r="G94">
            <v>11061699</v>
          </cell>
          <cell r="H94">
            <v>0</v>
          </cell>
          <cell r="I94">
            <v>0</v>
          </cell>
          <cell r="J94">
            <v>-11061699</v>
          </cell>
        </row>
        <row r="95">
          <cell r="A95" t="str">
            <v>1-2-02-05-019  DEPREC. ACUM. REÑACA NORTE</v>
          </cell>
          <cell r="B95">
            <v>0</v>
          </cell>
          <cell r="C95">
            <v>2022052</v>
          </cell>
          <cell r="D95">
            <v>0</v>
          </cell>
          <cell r="E95">
            <v>2022052</v>
          </cell>
          <cell r="F95">
            <v>0</v>
          </cell>
          <cell r="G95">
            <v>2022052</v>
          </cell>
          <cell r="H95">
            <v>0</v>
          </cell>
          <cell r="I95">
            <v>0</v>
          </cell>
          <cell r="J95">
            <v>-2022052</v>
          </cell>
        </row>
        <row r="96">
          <cell r="A96" t="str">
            <v>1-2-02-05-021  DEPRECACUM. PROY.GIMNASIO LINARES</v>
          </cell>
          <cell r="B96">
            <v>0</v>
          </cell>
          <cell r="C96">
            <v>15319417</v>
          </cell>
          <cell r="D96">
            <v>0</v>
          </cell>
          <cell r="E96">
            <v>15319417</v>
          </cell>
          <cell r="F96">
            <v>0</v>
          </cell>
          <cell r="G96">
            <v>15319417</v>
          </cell>
          <cell r="H96">
            <v>0</v>
          </cell>
          <cell r="I96">
            <v>0</v>
          </cell>
          <cell r="J96">
            <v>-15319417</v>
          </cell>
        </row>
        <row r="97">
          <cell r="A97" t="str">
            <v>1-2-02-05-027  DEP. ACUM. INM PELLUHUE</v>
          </cell>
          <cell r="B97">
            <v>0</v>
          </cell>
          <cell r="C97">
            <v>1397447</v>
          </cell>
          <cell r="D97">
            <v>0</v>
          </cell>
          <cell r="E97">
            <v>1397447</v>
          </cell>
          <cell r="F97">
            <v>0</v>
          </cell>
          <cell r="G97">
            <v>1397447</v>
          </cell>
          <cell r="H97">
            <v>0</v>
          </cell>
          <cell r="I97">
            <v>0</v>
          </cell>
          <cell r="J97">
            <v>-1397447</v>
          </cell>
        </row>
        <row r="98">
          <cell r="A98" t="str">
            <v>1-2-02-05-028  DEP. ACUM. INM. LOS MAITENES</v>
          </cell>
          <cell r="B98">
            <v>0</v>
          </cell>
          <cell r="C98">
            <v>13967970</v>
          </cell>
          <cell r="D98">
            <v>0</v>
          </cell>
          <cell r="E98">
            <v>13967970</v>
          </cell>
          <cell r="F98">
            <v>0</v>
          </cell>
          <cell r="G98">
            <v>13967970</v>
          </cell>
          <cell r="H98">
            <v>0</v>
          </cell>
          <cell r="I98">
            <v>0</v>
          </cell>
          <cell r="J98">
            <v>-13967970</v>
          </cell>
        </row>
        <row r="99">
          <cell r="A99" t="str">
            <v>1-2-02-05-030  DEP.ACUM. PROYECTO MULCHEN</v>
          </cell>
          <cell r="B99">
            <v>0</v>
          </cell>
          <cell r="C99">
            <v>25489883</v>
          </cell>
          <cell r="D99">
            <v>0</v>
          </cell>
          <cell r="E99">
            <v>25489883</v>
          </cell>
          <cell r="F99">
            <v>0</v>
          </cell>
          <cell r="G99">
            <v>25489883</v>
          </cell>
          <cell r="H99">
            <v>0</v>
          </cell>
          <cell r="I99">
            <v>0</v>
          </cell>
          <cell r="J99">
            <v>-25489883</v>
          </cell>
        </row>
        <row r="100">
          <cell r="A100" t="str">
            <v>1-2-02-05-603  DEP ACUMU EL TREBOL LINARES</v>
          </cell>
          <cell r="B100">
            <v>0</v>
          </cell>
          <cell r="C100">
            <v>15300059</v>
          </cell>
          <cell r="D100">
            <v>0</v>
          </cell>
          <cell r="E100">
            <v>15300059</v>
          </cell>
          <cell r="F100">
            <v>0</v>
          </cell>
          <cell r="G100">
            <v>15300059</v>
          </cell>
          <cell r="H100">
            <v>0</v>
          </cell>
          <cell r="I100">
            <v>0</v>
          </cell>
          <cell r="J100">
            <v>-15300059</v>
          </cell>
        </row>
        <row r="101">
          <cell r="A101" t="str">
            <v>1-2-02-06-001  DEP. ACUM. BIENES RAICES</v>
          </cell>
          <cell r="B101">
            <v>0</v>
          </cell>
          <cell r="C101">
            <v>19418911</v>
          </cell>
          <cell r="D101">
            <v>0</v>
          </cell>
          <cell r="E101">
            <v>19418911</v>
          </cell>
          <cell r="F101">
            <v>0</v>
          </cell>
          <cell r="G101">
            <v>19418911</v>
          </cell>
          <cell r="H101">
            <v>0</v>
          </cell>
          <cell r="I101">
            <v>0</v>
          </cell>
          <cell r="J101">
            <v>-19418911</v>
          </cell>
        </row>
        <row r="102">
          <cell r="A102" t="str">
            <v>1-3-01-02-003  BOLETA GARANTIAS LOCATARIOS (ORDEN)</v>
          </cell>
          <cell r="B102">
            <v>65565796</v>
          </cell>
          <cell r="C102">
            <v>64989434</v>
          </cell>
          <cell r="D102">
            <v>576362</v>
          </cell>
          <cell r="E102">
            <v>0</v>
          </cell>
          <cell r="F102">
            <v>576362</v>
          </cell>
          <cell r="G102">
            <v>0</v>
          </cell>
          <cell r="H102">
            <v>0</v>
          </cell>
          <cell r="I102">
            <v>0</v>
          </cell>
          <cell r="J102">
            <v>576362</v>
          </cell>
        </row>
        <row r="103">
          <cell r="A103" t="str">
            <v>1-3-04-01-002  RETENCIONES JUDICIALES CAUSAS</v>
          </cell>
          <cell r="B103">
            <v>36863330</v>
          </cell>
          <cell r="C103">
            <v>0</v>
          </cell>
          <cell r="D103">
            <v>36863330</v>
          </cell>
          <cell r="E103">
            <v>0</v>
          </cell>
          <cell r="F103">
            <v>36863330</v>
          </cell>
          <cell r="G103">
            <v>0</v>
          </cell>
          <cell r="H103">
            <v>0</v>
          </cell>
          <cell r="I103">
            <v>0</v>
          </cell>
          <cell r="J103">
            <v>36863330</v>
          </cell>
        </row>
        <row r="104">
          <cell r="A104" t="str">
            <v>2-1-01-01-009  PRESTAMO  BCO INTERNACIONAL CP M$600</v>
          </cell>
          <cell r="B104">
            <v>52637465</v>
          </cell>
          <cell r="C104">
            <v>52637459</v>
          </cell>
          <cell r="D104">
            <v>6</v>
          </cell>
          <cell r="E104">
            <v>0</v>
          </cell>
          <cell r="F104">
            <v>6</v>
          </cell>
          <cell r="G104">
            <v>0</v>
          </cell>
          <cell r="H104">
            <v>0</v>
          </cell>
          <cell r="I104">
            <v>0</v>
          </cell>
          <cell r="J104">
            <v>-6</v>
          </cell>
        </row>
        <row r="105">
          <cell r="A105" t="str">
            <v>2-1-01-01-010  USO LINEA CRÉDITO BANCO SANTANDER</v>
          </cell>
          <cell r="B105">
            <v>193435679</v>
          </cell>
          <cell r="C105">
            <v>553199035</v>
          </cell>
          <cell r="D105">
            <v>0</v>
          </cell>
          <cell r="E105">
            <v>359763356</v>
          </cell>
          <cell r="F105">
            <v>0</v>
          </cell>
          <cell r="G105">
            <v>359763356</v>
          </cell>
          <cell r="H105">
            <v>0</v>
          </cell>
          <cell r="I105">
            <v>0</v>
          </cell>
          <cell r="J105">
            <v>359763356</v>
          </cell>
        </row>
        <row r="106">
          <cell r="A106" t="str">
            <v>2-1-01-01-011  USO LINEA CREDITO BANCO BCI</v>
          </cell>
          <cell r="B106">
            <v>91147683</v>
          </cell>
          <cell r="C106">
            <v>157999297</v>
          </cell>
          <cell r="D106">
            <v>0</v>
          </cell>
          <cell r="E106">
            <v>66851614</v>
          </cell>
          <cell r="F106">
            <v>0</v>
          </cell>
          <cell r="G106">
            <v>66851614</v>
          </cell>
          <cell r="H106">
            <v>0</v>
          </cell>
          <cell r="I106">
            <v>0</v>
          </cell>
          <cell r="J106">
            <v>66851614</v>
          </cell>
        </row>
        <row r="107">
          <cell r="A107" t="str">
            <v>2-1-01-02-001  OBLIG. LEASING 1 SUR 1990 C/PLAZO</v>
          </cell>
          <cell r="B107">
            <v>8450381</v>
          </cell>
          <cell r="C107">
            <v>0</v>
          </cell>
          <cell r="D107">
            <v>8450381</v>
          </cell>
          <cell r="E107">
            <v>0</v>
          </cell>
          <cell r="F107">
            <v>8450381</v>
          </cell>
          <cell r="G107">
            <v>0</v>
          </cell>
          <cell r="H107">
            <v>0</v>
          </cell>
          <cell r="I107">
            <v>0</v>
          </cell>
          <cell r="J107">
            <v>-8450381</v>
          </cell>
        </row>
        <row r="108">
          <cell r="A108" t="str">
            <v>2-1-01-02-002  OBLIG. LEASING SAN JAVIER C/PLAZO</v>
          </cell>
          <cell r="B108">
            <v>7265932</v>
          </cell>
          <cell r="C108">
            <v>0</v>
          </cell>
          <cell r="D108">
            <v>7265932</v>
          </cell>
          <cell r="E108">
            <v>0</v>
          </cell>
          <cell r="F108">
            <v>7265932</v>
          </cell>
          <cell r="G108">
            <v>0</v>
          </cell>
          <cell r="H108">
            <v>0</v>
          </cell>
          <cell r="I108">
            <v>0</v>
          </cell>
          <cell r="J108">
            <v>-7265932</v>
          </cell>
        </row>
        <row r="109">
          <cell r="A109" t="str">
            <v>2-1-01-02-003  OBLIG. LEASING COLIN 0240 TALCA</v>
          </cell>
          <cell r="B109">
            <v>13675532</v>
          </cell>
          <cell r="C109">
            <v>0</v>
          </cell>
          <cell r="D109">
            <v>13675532</v>
          </cell>
          <cell r="E109">
            <v>0</v>
          </cell>
          <cell r="F109">
            <v>13675532</v>
          </cell>
          <cell r="G109">
            <v>0</v>
          </cell>
          <cell r="H109">
            <v>0</v>
          </cell>
          <cell r="I109">
            <v>0</v>
          </cell>
          <cell r="J109">
            <v>-13675532</v>
          </cell>
        </row>
        <row r="110">
          <cell r="A110" t="str">
            <v>2-1-01-02-004  OBLIG. LEASING C. SATELITE C/PLAZO</v>
          </cell>
          <cell r="B110">
            <v>20105464</v>
          </cell>
          <cell r="C110">
            <v>0</v>
          </cell>
          <cell r="D110">
            <v>20105464</v>
          </cell>
          <cell r="E110">
            <v>0</v>
          </cell>
          <cell r="F110">
            <v>20105464</v>
          </cell>
          <cell r="G110">
            <v>0</v>
          </cell>
          <cell r="H110">
            <v>0</v>
          </cell>
          <cell r="I110">
            <v>0</v>
          </cell>
          <cell r="J110">
            <v>-20105464</v>
          </cell>
        </row>
        <row r="111">
          <cell r="A111" t="str">
            <v>2-1-01-02-005  OBLIG. LEASING 11 ORIENTE C/PLAZO</v>
          </cell>
          <cell r="B111">
            <v>6611844</v>
          </cell>
          <cell r="C111">
            <v>12289150</v>
          </cell>
          <cell r="D111">
            <v>0</v>
          </cell>
          <cell r="E111">
            <v>5677306</v>
          </cell>
          <cell r="F111">
            <v>0</v>
          </cell>
          <cell r="G111">
            <v>5677306</v>
          </cell>
          <cell r="H111">
            <v>0</v>
          </cell>
          <cell r="I111">
            <v>0</v>
          </cell>
          <cell r="J111">
            <v>5677306</v>
          </cell>
        </row>
        <row r="112">
          <cell r="A112" t="str">
            <v>2-1-01-02-006  OBLIG. LEASING MAIPU 556 C/PLAZO</v>
          </cell>
          <cell r="B112">
            <v>5851687</v>
          </cell>
          <cell r="C112">
            <v>10876278</v>
          </cell>
          <cell r="D112">
            <v>0</v>
          </cell>
          <cell r="E112">
            <v>5024591</v>
          </cell>
          <cell r="F112">
            <v>0</v>
          </cell>
          <cell r="G112">
            <v>5024591</v>
          </cell>
          <cell r="H112">
            <v>0</v>
          </cell>
          <cell r="I112">
            <v>0</v>
          </cell>
          <cell r="J112">
            <v>5024591</v>
          </cell>
        </row>
        <row r="113">
          <cell r="A113" t="str">
            <v>2-1-01-02-007  OBLIG. LEASING BRASIL 648 C/PLAZO</v>
          </cell>
          <cell r="B113">
            <v>4486294</v>
          </cell>
          <cell r="C113">
            <v>8338482</v>
          </cell>
          <cell r="D113">
            <v>0</v>
          </cell>
          <cell r="E113">
            <v>3852188</v>
          </cell>
          <cell r="F113">
            <v>0</v>
          </cell>
          <cell r="G113">
            <v>3852188</v>
          </cell>
          <cell r="H113">
            <v>0</v>
          </cell>
          <cell r="I113">
            <v>0</v>
          </cell>
          <cell r="J113">
            <v>3852188</v>
          </cell>
        </row>
        <row r="114">
          <cell r="A114" t="str">
            <v>2-1-01-02-008  OBLIG. LEASING VIAL 224 C/PLAZO</v>
          </cell>
          <cell r="B114">
            <v>5364047</v>
          </cell>
          <cell r="C114">
            <v>9969923</v>
          </cell>
          <cell r="D114">
            <v>0</v>
          </cell>
          <cell r="E114">
            <v>4605876</v>
          </cell>
          <cell r="F114">
            <v>0</v>
          </cell>
          <cell r="G114">
            <v>4605876</v>
          </cell>
          <cell r="H114">
            <v>0</v>
          </cell>
          <cell r="I114">
            <v>0</v>
          </cell>
          <cell r="J114">
            <v>4605876</v>
          </cell>
        </row>
        <row r="115">
          <cell r="A115" t="str">
            <v>2-1-01-02-009  OBLIG. LEASING TALCA COLIN C/PLAZO</v>
          </cell>
          <cell r="B115">
            <v>48533533</v>
          </cell>
          <cell r="C115">
            <v>89463777</v>
          </cell>
          <cell r="D115">
            <v>0</v>
          </cell>
          <cell r="E115">
            <v>40930244</v>
          </cell>
          <cell r="F115">
            <v>0</v>
          </cell>
          <cell r="G115">
            <v>40930244</v>
          </cell>
          <cell r="H115">
            <v>0</v>
          </cell>
          <cell r="I115">
            <v>0</v>
          </cell>
          <cell r="J115">
            <v>40930244</v>
          </cell>
        </row>
        <row r="116">
          <cell r="A116" t="str">
            <v>2-1-01-02-010  OBLIG. HIPOTECARIO C/PLAZO</v>
          </cell>
          <cell r="B116">
            <v>16895520</v>
          </cell>
          <cell r="C116">
            <v>0</v>
          </cell>
          <cell r="D116">
            <v>16895520</v>
          </cell>
          <cell r="E116">
            <v>0</v>
          </cell>
          <cell r="F116">
            <v>16895520</v>
          </cell>
          <cell r="G116">
            <v>0</v>
          </cell>
          <cell r="H116">
            <v>0</v>
          </cell>
          <cell r="I116">
            <v>0</v>
          </cell>
          <cell r="J116">
            <v>-16895520</v>
          </cell>
        </row>
        <row r="117">
          <cell r="A117" t="str">
            <v>2-1-01-02-011  OBLIG.LEASING VALPO  C/P</v>
          </cell>
          <cell r="B117">
            <v>24302297</v>
          </cell>
          <cell r="C117">
            <v>50102726</v>
          </cell>
          <cell r="D117">
            <v>0</v>
          </cell>
          <cell r="E117">
            <v>25800429</v>
          </cell>
          <cell r="F117">
            <v>0</v>
          </cell>
          <cell r="G117">
            <v>25800429</v>
          </cell>
          <cell r="H117">
            <v>0</v>
          </cell>
          <cell r="I117">
            <v>0</v>
          </cell>
          <cell r="J117">
            <v>25800429</v>
          </cell>
        </row>
        <row r="118">
          <cell r="A118" t="str">
            <v>2-1-01-02-012  OBLIG.LEASING CAUQUENES C/P</v>
          </cell>
          <cell r="B118">
            <v>9125326</v>
          </cell>
          <cell r="C118">
            <v>18869111</v>
          </cell>
          <cell r="D118">
            <v>0</v>
          </cell>
          <cell r="E118">
            <v>9743785</v>
          </cell>
          <cell r="F118">
            <v>0</v>
          </cell>
          <cell r="G118">
            <v>9743785</v>
          </cell>
          <cell r="H118">
            <v>0</v>
          </cell>
          <cell r="I118">
            <v>0</v>
          </cell>
          <cell r="J118">
            <v>9743785</v>
          </cell>
        </row>
        <row r="119">
          <cell r="A119" t="str">
            <v>2-1-01-02-013  OBLIG. LEASING OUTLET C/P</v>
          </cell>
          <cell r="B119">
            <v>67217766</v>
          </cell>
          <cell r="C119">
            <v>140941769</v>
          </cell>
          <cell r="D119">
            <v>0</v>
          </cell>
          <cell r="E119">
            <v>73724003</v>
          </cell>
          <cell r="F119">
            <v>0</v>
          </cell>
          <cell r="G119">
            <v>73724003</v>
          </cell>
          <cell r="H119">
            <v>0</v>
          </cell>
          <cell r="I119">
            <v>0</v>
          </cell>
          <cell r="J119">
            <v>73724003</v>
          </cell>
        </row>
        <row r="120">
          <cell r="A120" t="str">
            <v>2-1-01-02-014  OBLIG HIPOTECARIO LOS MORRO CP</v>
          </cell>
          <cell r="B120">
            <v>34759524</v>
          </cell>
          <cell r="C120">
            <v>71390781</v>
          </cell>
          <cell r="D120">
            <v>0</v>
          </cell>
          <cell r="E120">
            <v>36631257</v>
          </cell>
          <cell r="F120">
            <v>0</v>
          </cell>
          <cell r="G120">
            <v>36631257</v>
          </cell>
          <cell r="H120">
            <v>0</v>
          </cell>
          <cell r="I120">
            <v>0</v>
          </cell>
          <cell r="J120">
            <v>36631257</v>
          </cell>
        </row>
        <row r="121">
          <cell r="A121" t="str">
            <v>2-1-01-03-002  OBLIG LEASING VEHICULOS  CP 2</v>
          </cell>
          <cell r="B121">
            <v>3525621</v>
          </cell>
          <cell r="C121">
            <v>7255069</v>
          </cell>
          <cell r="D121">
            <v>0</v>
          </cell>
          <cell r="E121">
            <v>3729448</v>
          </cell>
          <cell r="F121">
            <v>0</v>
          </cell>
          <cell r="G121">
            <v>3729448</v>
          </cell>
          <cell r="H121">
            <v>0</v>
          </cell>
          <cell r="I121">
            <v>0</v>
          </cell>
          <cell r="J121">
            <v>3729448</v>
          </cell>
        </row>
        <row r="122">
          <cell r="A122" t="str">
            <v>2-1-02-01-005  MUTUOS POR PAGAR</v>
          </cell>
          <cell r="B122">
            <v>83394371</v>
          </cell>
          <cell r="C122">
            <v>35717537</v>
          </cell>
          <cell r="D122">
            <v>47676834</v>
          </cell>
          <cell r="E122">
            <v>0</v>
          </cell>
          <cell r="F122">
            <v>47676834</v>
          </cell>
          <cell r="G122">
            <v>0</v>
          </cell>
          <cell r="H122">
            <v>0</v>
          </cell>
          <cell r="I122">
            <v>0</v>
          </cell>
          <cell r="J122">
            <v>-47676834</v>
          </cell>
        </row>
        <row r="123">
          <cell r="A123" t="str">
            <v>2-1-02-01-008  REMUNERACIONES POR PAGAR (2)</v>
          </cell>
          <cell r="B123">
            <v>99209191</v>
          </cell>
          <cell r="C123">
            <v>99209191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</row>
        <row r="124">
          <cell r="A124" t="str">
            <v>2-1-02-01-009  CUENTA POR PAGAR INVERSIONES NUEVA SANTA FIDELMIRA LIMITADA</v>
          </cell>
          <cell r="B124">
            <v>53071283</v>
          </cell>
          <cell r="C124">
            <v>75197158</v>
          </cell>
          <cell r="D124">
            <v>0</v>
          </cell>
          <cell r="E124">
            <v>22125875</v>
          </cell>
          <cell r="F124">
            <v>0</v>
          </cell>
          <cell r="G124">
            <v>22125875</v>
          </cell>
          <cell r="H124">
            <v>0</v>
          </cell>
          <cell r="I124">
            <v>0</v>
          </cell>
          <cell r="J124">
            <v>22125875</v>
          </cell>
        </row>
        <row r="125">
          <cell r="A125" t="str">
            <v>2-1-02-01-010  Cuenta por pagar Constructora ERG</v>
          </cell>
          <cell r="B125">
            <v>0</v>
          </cell>
          <cell r="C125">
            <v>660000</v>
          </cell>
          <cell r="D125">
            <v>0</v>
          </cell>
          <cell r="E125">
            <v>660000</v>
          </cell>
          <cell r="F125">
            <v>0</v>
          </cell>
          <cell r="G125">
            <v>660000</v>
          </cell>
          <cell r="H125">
            <v>0</v>
          </cell>
          <cell r="I125">
            <v>0</v>
          </cell>
          <cell r="J125">
            <v>660000</v>
          </cell>
        </row>
        <row r="126">
          <cell r="A126" t="str">
            <v>2-1-03-01-001  GARANTIAS RECIBIDAS ARRENDATARIOS (CLP)</v>
          </cell>
          <cell r="B126">
            <v>429962</v>
          </cell>
          <cell r="C126">
            <v>240000</v>
          </cell>
          <cell r="D126">
            <v>189962</v>
          </cell>
          <cell r="E126">
            <v>0</v>
          </cell>
          <cell r="F126">
            <v>189962</v>
          </cell>
          <cell r="G126">
            <v>0</v>
          </cell>
          <cell r="H126">
            <v>0</v>
          </cell>
          <cell r="I126">
            <v>0</v>
          </cell>
          <cell r="J126">
            <v>-189962</v>
          </cell>
        </row>
        <row r="127">
          <cell r="A127" t="str">
            <v>2-1-03-01-002  GARANTIAS RECIBIDAS ARRENDATARIOS (UF)</v>
          </cell>
          <cell r="B127">
            <v>197308307</v>
          </cell>
          <cell r="C127">
            <v>198197787</v>
          </cell>
          <cell r="D127">
            <v>0</v>
          </cell>
          <cell r="E127">
            <v>889480</v>
          </cell>
          <cell r="F127">
            <v>0</v>
          </cell>
          <cell r="G127">
            <v>889480</v>
          </cell>
          <cell r="H127">
            <v>0</v>
          </cell>
          <cell r="I127">
            <v>0</v>
          </cell>
          <cell r="J127">
            <v>889480</v>
          </cell>
        </row>
        <row r="128">
          <cell r="A128" t="str">
            <v>2-1-03-01-008  CTA X PAGAR ISF DOLAR</v>
          </cell>
          <cell r="B128">
            <v>24650177</v>
          </cell>
          <cell r="C128">
            <v>0</v>
          </cell>
          <cell r="D128">
            <v>24650177</v>
          </cell>
          <cell r="E128">
            <v>0</v>
          </cell>
          <cell r="F128">
            <v>24650177</v>
          </cell>
          <cell r="G128">
            <v>0</v>
          </cell>
          <cell r="H128">
            <v>0</v>
          </cell>
          <cell r="I128">
            <v>0</v>
          </cell>
          <cell r="J128">
            <v>-24650177</v>
          </cell>
        </row>
        <row r="129">
          <cell r="A129" t="str">
            <v>2-1-03-01-009  BOLETA GARANTIAS LOCATARIOS (ORDEN)</v>
          </cell>
          <cell r="B129">
            <v>64989434</v>
          </cell>
          <cell r="C129">
            <v>65565796</v>
          </cell>
          <cell r="D129">
            <v>0</v>
          </cell>
          <cell r="E129">
            <v>576362</v>
          </cell>
          <cell r="F129">
            <v>0</v>
          </cell>
          <cell r="G129">
            <v>576362</v>
          </cell>
          <cell r="H129">
            <v>0</v>
          </cell>
          <cell r="I129">
            <v>0</v>
          </cell>
          <cell r="J129">
            <v>576362</v>
          </cell>
        </row>
        <row r="130">
          <cell r="A130" t="str">
            <v>2-1-03-02-001  ANTICIPO DE CLIENTES</v>
          </cell>
          <cell r="B130">
            <v>10630773</v>
          </cell>
          <cell r="C130">
            <v>13462995</v>
          </cell>
          <cell r="D130">
            <v>0</v>
          </cell>
          <cell r="E130">
            <v>2832222</v>
          </cell>
          <cell r="F130">
            <v>0</v>
          </cell>
          <cell r="G130">
            <v>2832222</v>
          </cell>
          <cell r="H130">
            <v>0</v>
          </cell>
          <cell r="I130">
            <v>0</v>
          </cell>
          <cell r="J130">
            <v>2832222</v>
          </cell>
        </row>
        <row r="131">
          <cell r="A131" t="str">
            <v>2-1-04-01-001  IVA DEBITO FISCAL</v>
          </cell>
          <cell r="B131">
            <v>159971772</v>
          </cell>
          <cell r="C131">
            <v>159971772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2-1-04-01-002  IMPUESTO UNICO</v>
          </cell>
          <cell r="B132">
            <v>24195375</v>
          </cell>
          <cell r="C132">
            <v>36747207</v>
          </cell>
          <cell r="D132">
            <v>0</v>
          </cell>
          <cell r="E132">
            <v>12551832</v>
          </cell>
          <cell r="F132">
            <v>0</v>
          </cell>
          <cell r="G132">
            <v>12551832</v>
          </cell>
          <cell r="H132">
            <v>0</v>
          </cell>
          <cell r="I132">
            <v>0</v>
          </cell>
          <cell r="J132">
            <v>12551832</v>
          </cell>
        </row>
        <row r="133">
          <cell r="A133" t="str">
            <v>2-1-04-01-003  IMPUESTO 2° CATEGORIA</v>
          </cell>
          <cell r="B133">
            <v>2864631</v>
          </cell>
          <cell r="C133">
            <v>1325911</v>
          </cell>
          <cell r="D133">
            <v>1538720</v>
          </cell>
          <cell r="E133">
            <v>0</v>
          </cell>
          <cell r="F133">
            <v>1538720</v>
          </cell>
          <cell r="G133">
            <v>0</v>
          </cell>
          <cell r="H133">
            <v>0</v>
          </cell>
          <cell r="I133">
            <v>0</v>
          </cell>
          <cell r="J133">
            <v>-1538720</v>
          </cell>
        </row>
        <row r="134">
          <cell r="A134" t="str">
            <v>2-1-04-01-005  IMPOSICIONES POR PAGAR</v>
          </cell>
          <cell r="B134">
            <v>11828746</v>
          </cell>
          <cell r="C134">
            <v>11489405</v>
          </cell>
          <cell r="D134">
            <v>339341</v>
          </cell>
          <cell r="E134">
            <v>0</v>
          </cell>
          <cell r="F134">
            <v>339341</v>
          </cell>
          <cell r="G134">
            <v>0</v>
          </cell>
          <cell r="H134">
            <v>0</v>
          </cell>
          <cell r="I134">
            <v>0</v>
          </cell>
          <cell r="J134">
            <v>-339341</v>
          </cell>
        </row>
        <row r="135">
          <cell r="A135" t="str">
            <v>2-1-06-01-001  PROVEEDORES 2</v>
          </cell>
          <cell r="B135">
            <v>1496535007</v>
          </cell>
          <cell r="C135">
            <v>1501572781</v>
          </cell>
          <cell r="D135">
            <v>0</v>
          </cell>
          <cell r="E135">
            <v>5037774</v>
          </cell>
          <cell r="F135">
            <v>0</v>
          </cell>
          <cell r="G135">
            <v>5037774</v>
          </cell>
          <cell r="H135">
            <v>0</v>
          </cell>
          <cell r="I135">
            <v>0</v>
          </cell>
          <cell r="J135">
            <v>5037774</v>
          </cell>
        </row>
        <row r="136">
          <cell r="A136" t="str">
            <v>2-1-06-01-002  HONORARIOS POR PAGAR 2</v>
          </cell>
          <cell r="B136">
            <v>11218130</v>
          </cell>
          <cell r="C136">
            <v>8781585</v>
          </cell>
          <cell r="D136">
            <v>2436545</v>
          </cell>
          <cell r="E136">
            <v>0</v>
          </cell>
          <cell r="F136">
            <v>2436545</v>
          </cell>
          <cell r="G136">
            <v>0</v>
          </cell>
          <cell r="H136">
            <v>0</v>
          </cell>
          <cell r="I136">
            <v>0</v>
          </cell>
          <cell r="J136">
            <v>-2436545</v>
          </cell>
        </row>
        <row r="137">
          <cell r="A137" t="str">
            <v>2-1-06-01-006  CHEQUES GIRADOS POR PAGAR 2</v>
          </cell>
          <cell r="B137">
            <v>377324158</v>
          </cell>
          <cell r="C137">
            <v>376485910</v>
          </cell>
          <cell r="D137">
            <v>838248</v>
          </cell>
          <cell r="E137">
            <v>0</v>
          </cell>
          <cell r="F137">
            <v>838248</v>
          </cell>
          <cell r="G137">
            <v>0</v>
          </cell>
          <cell r="H137">
            <v>0</v>
          </cell>
          <cell r="I137">
            <v>0</v>
          </cell>
          <cell r="J137">
            <v>-838248</v>
          </cell>
        </row>
        <row r="138">
          <cell r="A138" t="str">
            <v>2-1-06-01-007  SEGURO SALUD COMPLEMENTARIO</v>
          </cell>
          <cell r="B138">
            <v>294503</v>
          </cell>
          <cell r="C138">
            <v>294503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2-2-01-01-004  PRESTAMO  BCO INTERNACIONAL LP M$600</v>
          </cell>
          <cell r="B139">
            <v>59193330</v>
          </cell>
          <cell r="C139">
            <v>0</v>
          </cell>
          <cell r="D139">
            <v>59193330</v>
          </cell>
          <cell r="E139">
            <v>0</v>
          </cell>
          <cell r="F139">
            <v>59193330</v>
          </cell>
          <cell r="G139">
            <v>0</v>
          </cell>
          <cell r="H139">
            <v>0</v>
          </cell>
          <cell r="I139">
            <v>0</v>
          </cell>
          <cell r="J139">
            <v>-59193330</v>
          </cell>
        </row>
        <row r="140">
          <cell r="A140" t="str">
            <v>2-2-01-02-005  OBLIG. LEASING 11 ORIENTE 1550 L/PLAZO</v>
          </cell>
          <cell r="B140">
            <v>13943406</v>
          </cell>
          <cell r="C140">
            <v>0</v>
          </cell>
          <cell r="D140">
            <v>13943406</v>
          </cell>
          <cell r="E140">
            <v>0</v>
          </cell>
          <cell r="F140">
            <v>13943406</v>
          </cell>
          <cell r="G140">
            <v>0</v>
          </cell>
          <cell r="H140">
            <v>0</v>
          </cell>
          <cell r="I140">
            <v>0</v>
          </cell>
          <cell r="J140">
            <v>-13943406</v>
          </cell>
        </row>
        <row r="141">
          <cell r="A141" t="str">
            <v>2-2-01-02-006  OBLIG. LEASING MAIPU 556 L/PLAZO</v>
          </cell>
          <cell r="B141">
            <v>12340346</v>
          </cell>
          <cell r="C141">
            <v>0</v>
          </cell>
          <cell r="D141">
            <v>12340346</v>
          </cell>
          <cell r="E141">
            <v>0</v>
          </cell>
          <cell r="F141">
            <v>12340346</v>
          </cell>
          <cell r="G141">
            <v>0</v>
          </cell>
          <cell r="H141">
            <v>0</v>
          </cell>
          <cell r="I141">
            <v>0</v>
          </cell>
          <cell r="J141">
            <v>-12340346</v>
          </cell>
        </row>
        <row r="142">
          <cell r="A142" t="str">
            <v>2-2-01-02-007  OBLIG. LEASING BRASIL 648 L/PLAZO</v>
          </cell>
          <cell r="B142">
            <v>9460934</v>
          </cell>
          <cell r="C142">
            <v>0</v>
          </cell>
          <cell r="D142">
            <v>9460934</v>
          </cell>
          <cell r="E142">
            <v>0</v>
          </cell>
          <cell r="F142">
            <v>9460934</v>
          </cell>
          <cell r="G142">
            <v>0</v>
          </cell>
          <cell r="H142">
            <v>0</v>
          </cell>
          <cell r="I142">
            <v>0</v>
          </cell>
          <cell r="J142">
            <v>-9460934</v>
          </cell>
        </row>
        <row r="143">
          <cell r="A143" t="str">
            <v>2-2-01-02-008  OBLIG. LEASING VIAL 224 L/PLAZO</v>
          </cell>
          <cell r="B143">
            <v>11311985</v>
          </cell>
          <cell r="C143">
            <v>0</v>
          </cell>
          <cell r="D143">
            <v>11311985</v>
          </cell>
          <cell r="E143">
            <v>0</v>
          </cell>
          <cell r="F143">
            <v>11311985</v>
          </cell>
          <cell r="G143">
            <v>0</v>
          </cell>
          <cell r="H143">
            <v>0</v>
          </cell>
          <cell r="I143">
            <v>0</v>
          </cell>
          <cell r="J143">
            <v>-11311985</v>
          </cell>
        </row>
        <row r="144">
          <cell r="A144" t="str">
            <v>2-2-01-02-009  OBLIG. LEASING TALCA COLIN L/PLAZO</v>
          </cell>
          <cell r="B144">
            <v>109905567</v>
          </cell>
          <cell r="C144">
            <v>0</v>
          </cell>
          <cell r="D144">
            <v>109905567</v>
          </cell>
          <cell r="E144">
            <v>0</v>
          </cell>
          <cell r="F144">
            <v>109905567</v>
          </cell>
          <cell r="G144">
            <v>0</v>
          </cell>
          <cell r="H144">
            <v>0</v>
          </cell>
          <cell r="I144">
            <v>0</v>
          </cell>
          <cell r="J144">
            <v>-109905567</v>
          </cell>
        </row>
        <row r="145">
          <cell r="A145" t="str">
            <v>2-2-01-02-010  OBLIG.LEASING  VALPO L/P</v>
          </cell>
          <cell r="B145">
            <v>42755161</v>
          </cell>
          <cell r="C145">
            <v>0</v>
          </cell>
          <cell r="D145">
            <v>42755161</v>
          </cell>
          <cell r="E145">
            <v>0</v>
          </cell>
          <cell r="F145">
            <v>42755161</v>
          </cell>
          <cell r="G145">
            <v>0</v>
          </cell>
          <cell r="H145">
            <v>0</v>
          </cell>
          <cell r="I145">
            <v>0</v>
          </cell>
          <cell r="J145">
            <v>-42755161</v>
          </cell>
        </row>
        <row r="146">
          <cell r="A146" t="str">
            <v>2-2-01-02-011  OBLIG.LEASING CAUQUENES  L/P</v>
          </cell>
          <cell r="B146">
            <v>18035962</v>
          </cell>
          <cell r="C146">
            <v>0</v>
          </cell>
          <cell r="D146">
            <v>18035962</v>
          </cell>
          <cell r="E146">
            <v>0</v>
          </cell>
          <cell r="F146">
            <v>18035962</v>
          </cell>
          <cell r="G146">
            <v>0</v>
          </cell>
          <cell r="H146">
            <v>0</v>
          </cell>
          <cell r="I146">
            <v>0</v>
          </cell>
          <cell r="J146">
            <v>-18035962</v>
          </cell>
        </row>
        <row r="147">
          <cell r="A147" t="str">
            <v>2-2-01-02-012  OBLIGAC. LEASING OUTLET L/P</v>
          </cell>
          <cell r="B147">
            <v>131667045</v>
          </cell>
          <cell r="C147">
            <v>0</v>
          </cell>
          <cell r="D147">
            <v>131667045</v>
          </cell>
          <cell r="E147">
            <v>0</v>
          </cell>
          <cell r="F147">
            <v>131667045</v>
          </cell>
          <cell r="G147">
            <v>0</v>
          </cell>
          <cell r="H147">
            <v>0</v>
          </cell>
          <cell r="I147">
            <v>0</v>
          </cell>
          <cell r="J147">
            <v>-131667045</v>
          </cell>
        </row>
        <row r="148">
          <cell r="A148" t="str">
            <v>2-2-01-02-013  OBLIG LEASING VEHICULOS LP</v>
          </cell>
          <cell r="B148">
            <v>7145341</v>
          </cell>
          <cell r="C148">
            <v>0</v>
          </cell>
          <cell r="D148">
            <v>7145341</v>
          </cell>
          <cell r="E148">
            <v>0</v>
          </cell>
          <cell r="F148">
            <v>7145341</v>
          </cell>
          <cell r="G148">
            <v>0</v>
          </cell>
          <cell r="H148">
            <v>0</v>
          </cell>
          <cell r="I148">
            <v>0</v>
          </cell>
          <cell r="J148">
            <v>-7145341</v>
          </cell>
        </row>
        <row r="149">
          <cell r="A149" t="str">
            <v>2-2-01-02-014  OBLIG HIPOTECARIO LOS MORRO LP</v>
          </cell>
          <cell r="B149">
            <v>41998142</v>
          </cell>
          <cell r="C149">
            <v>0</v>
          </cell>
          <cell r="D149">
            <v>41998142</v>
          </cell>
          <cell r="E149">
            <v>0</v>
          </cell>
          <cell r="F149">
            <v>41998142</v>
          </cell>
          <cell r="G149">
            <v>0</v>
          </cell>
          <cell r="H149">
            <v>0</v>
          </cell>
          <cell r="I149">
            <v>0</v>
          </cell>
          <cell r="J149">
            <v>-41998142</v>
          </cell>
        </row>
        <row r="150">
          <cell r="A150" t="str">
            <v>3-2-01-01-002  RESULTADOS ACUMULADOS</v>
          </cell>
          <cell r="B150">
            <v>498692</v>
          </cell>
          <cell r="C150">
            <v>35358609</v>
          </cell>
          <cell r="D150">
            <v>0</v>
          </cell>
          <cell r="E150">
            <v>34859917</v>
          </cell>
          <cell r="F150">
            <v>0</v>
          </cell>
          <cell r="G150">
            <v>34859917</v>
          </cell>
          <cell r="H150">
            <v>0</v>
          </cell>
          <cell r="I150">
            <v>0</v>
          </cell>
          <cell r="J150">
            <v>34859917</v>
          </cell>
        </row>
        <row r="151">
          <cell r="A151" t="str">
            <v>4-1-01-01-001  ARRIENDO FIJO</v>
          </cell>
          <cell r="B151">
            <v>715933</v>
          </cell>
          <cell r="C151">
            <v>805503730</v>
          </cell>
          <cell r="D151">
            <v>0</v>
          </cell>
          <cell r="E151">
            <v>804787797</v>
          </cell>
          <cell r="F151">
            <v>0</v>
          </cell>
          <cell r="G151">
            <v>0</v>
          </cell>
          <cell r="H151">
            <v>0</v>
          </cell>
          <cell r="I151">
            <v>804787797</v>
          </cell>
          <cell r="J151">
            <v>804787797</v>
          </cell>
        </row>
        <row r="152">
          <cell r="A152" t="str">
            <v>4-1-01-01-002  ARRIENDO VARIABLE</v>
          </cell>
          <cell r="B152">
            <v>557251</v>
          </cell>
          <cell r="C152">
            <v>261371605</v>
          </cell>
          <cell r="D152">
            <v>0</v>
          </cell>
          <cell r="E152">
            <v>260814354</v>
          </cell>
          <cell r="F152">
            <v>0</v>
          </cell>
          <cell r="G152">
            <v>0</v>
          </cell>
          <cell r="H152">
            <v>0</v>
          </cell>
          <cell r="I152">
            <v>260814354</v>
          </cell>
          <cell r="J152">
            <v>260814354</v>
          </cell>
        </row>
        <row r="153">
          <cell r="A153" t="str">
            <v>4-1-01-01-005  CONSUMOS DE AGUAS</v>
          </cell>
          <cell r="B153">
            <v>0</v>
          </cell>
          <cell r="C153">
            <v>6699925</v>
          </cell>
          <cell r="D153">
            <v>0</v>
          </cell>
          <cell r="E153">
            <v>6699925</v>
          </cell>
          <cell r="F153">
            <v>0</v>
          </cell>
          <cell r="G153">
            <v>0</v>
          </cell>
          <cell r="H153">
            <v>0</v>
          </cell>
          <cell r="I153">
            <v>6699925</v>
          </cell>
          <cell r="J153">
            <v>6699925</v>
          </cell>
        </row>
        <row r="154">
          <cell r="A154" t="str">
            <v>4-1-01-01-006  CONSUMOS DE LUZ</v>
          </cell>
          <cell r="B154">
            <v>0</v>
          </cell>
          <cell r="C154">
            <v>108374608</v>
          </cell>
          <cell r="D154">
            <v>0</v>
          </cell>
          <cell r="E154">
            <v>108374608</v>
          </cell>
          <cell r="F154">
            <v>0</v>
          </cell>
          <cell r="G154">
            <v>0</v>
          </cell>
          <cell r="H154">
            <v>0</v>
          </cell>
          <cell r="I154">
            <v>108374608</v>
          </cell>
          <cell r="J154">
            <v>108374608</v>
          </cell>
        </row>
        <row r="155">
          <cell r="A155" t="str">
            <v>4-1-01-01-007  CONSUMOS DE GAS</v>
          </cell>
          <cell r="B155">
            <v>0</v>
          </cell>
          <cell r="C155">
            <v>1814268</v>
          </cell>
          <cell r="D155">
            <v>0</v>
          </cell>
          <cell r="E155">
            <v>1814268</v>
          </cell>
          <cell r="F155">
            <v>0</v>
          </cell>
          <cell r="G155">
            <v>0</v>
          </cell>
          <cell r="H155">
            <v>0</v>
          </cell>
          <cell r="I155">
            <v>1814268</v>
          </cell>
          <cell r="J155">
            <v>1814268</v>
          </cell>
        </row>
        <row r="156">
          <cell r="A156" t="str">
            <v>4-1-01-01-008  GASTOS COMUNES</v>
          </cell>
          <cell r="B156">
            <v>75137</v>
          </cell>
          <cell r="C156">
            <v>165725595</v>
          </cell>
          <cell r="D156">
            <v>0</v>
          </cell>
          <cell r="E156">
            <v>165650458</v>
          </cell>
          <cell r="F156">
            <v>0</v>
          </cell>
          <cell r="G156">
            <v>0</v>
          </cell>
          <cell r="H156">
            <v>0</v>
          </cell>
          <cell r="I156">
            <v>165650458</v>
          </cell>
          <cell r="J156">
            <v>165650458</v>
          </cell>
        </row>
        <row r="157">
          <cell r="A157" t="str">
            <v>4-1-01-01-013  VARIOS</v>
          </cell>
          <cell r="B157">
            <v>232728103</v>
          </cell>
          <cell r="C157">
            <v>330481</v>
          </cell>
          <cell r="D157">
            <v>232397622</v>
          </cell>
          <cell r="E157">
            <v>0</v>
          </cell>
          <cell r="F157">
            <v>0</v>
          </cell>
          <cell r="G157">
            <v>0</v>
          </cell>
          <cell r="H157">
            <v>232397622</v>
          </cell>
          <cell r="I157">
            <v>0</v>
          </cell>
          <cell r="J157">
            <v>-232397622</v>
          </cell>
        </row>
        <row r="158">
          <cell r="A158" t="str">
            <v>4-2-01-01-003  DIVIDENDOS RIACHUELO</v>
          </cell>
          <cell r="B158">
            <v>0</v>
          </cell>
          <cell r="C158">
            <v>20000000</v>
          </cell>
          <cell r="D158">
            <v>0</v>
          </cell>
          <cell r="E158">
            <v>20000000</v>
          </cell>
          <cell r="F158">
            <v>0</v>
          </cell>
          <cell r="G158">
            <v>0</v>
          </cell>
          <cell r="H158">
            <v>0</v>
          </cell>
          <cell r="I158">
            <v>20000000</v>
          </cell>
          <cell r="J158">
            <v>20000000</v>
          </cell>
        </row>
        <row r="159">
          <cell r="A159" t="str">
            <v>4-2-01-01-005  INTERESES DE PAGARE</v>
          </cell>
          <cell r="B159">
            <v>0</v>
          </cell>
          <cell r="C159">
            <v>12020918</v>
          </cell>
          <cell r="D159">
            <v>0</v>
          </cell>
          <cell r="E159">
            <v>12020918</v>
          </cell>
          <cell r="F159">
            <v>0</v>
          </cell>
          <cell r="G159">
            <v>0</v>
          </cell>
          <cell r="H159">
            <v>0</v>
          </cell>
          <cell r="I159">
            <v>12020918</v>
          </cell>
          <cell r="J159">
            <v>12020918</v>
          </cell>
        </row>
        <row r="160">
          <cell r="A160" t="str">
            <v>4-2-01-01-011  DIVIDENDO ASSET SANTANDER</v>
          </cell>
          <cell r="B160">
            <v>0</v>
          </cell>
          <cell r="C160">
            <v>4556890</v>
          </cell>
          <cell r="D160">
            <v>0</v>
          </cell>
          <cell r="E160">
            <v>4556890</v>
          </cell>
          <cell r="F160">
            <v>0</v>
          </cell>
          <cell r="G160">
            <v>0</v>
          </cell>
          <cell r="H160">
            <v>0</v>
          </cell>
          <cell r="I160">
            <v>4556890</v>
          </cell>
          <cell r="J160">
            <v>4556890</v>
          </cell>
        </row>
        <row r="161">
          <cell r="A161" t="str">
            <v>4-2-01-02-001  INGRESO POR VENTA DE AF</v>
          </cell>
          <cell r="B161">
            <v>0</v>
          </cell>
          <cell r="C161">
            <v>188136182</v>
          </cell>
          <cell r="D161">
            <v>0</v>
          </cell>
          <cell r="E161">
            <v>188136182</v>
          </cell>
          <cell r="F161">
            <v>0</v>
          </cell>
          <cell r="G161">
            <v>0</v>
          </cell>
          <cell r="H161">
            <v>0</v>
          </cell>
          <cell r="I161">
            <v>188136182</v>
          </cell>
          <cell r="J161">
            <v>188136182</v>
          </cell>
        </row>
        <row r="162">
          <cell r="A162" t="str">
            <v>4-2-01-02-008  ARQUITEC Y HABILITACION  LOCALES</v>
          </cell>
          <cell r="B162">
            <v>0</v>
          </cell>
          <cell r="C162">
            <v>1572948</v>
          </cell>
          <cell r="D162">
            <v>0</v>
          </cell>
          <cell r="E162">
            <v>1572948</v>
          </cell>
          <cell r="F162">
            <v>0</v>
          </cell>
          <cell r="G162">
            <v>0</v>
          </cell>
          <cell r="H162">
            <v>0</v>
          </cell>
          <cell r="I162">
            <v>1572948</v>
          </cell>
          <cell r="J162">
            <v>1572948</v>
          </cell>
        </row>
        <row r="163">
          <cell r="A163" t="str">
            <v>5-1-01-01-001  SERVICIOS DE GUARDIAS</v>
          </cell>
          <cell r="B163">
            <v>65051320</v>
          </cell>
          <cell r="C163">
            <v>0</v>
          </cell>
          <cell r="D163">
            <v>65051320</v>
          </cell>
          <cell r="E163">
            <v>0</v>
          </cell>
          <cell r="F163">
            <v>0</v>
          </cell>
          <cell r="G163">
            <v>0</v>
          </cell>
          <cell r="H163">
            <v>65051320</v>
          </cell>
          <cell r="I163">
            <v>0</v>
          </cell>
          <cell r="J163">
            <v>-65051320</v>
          </cell>
        </row>
        <row r="164">
          <cell r="A164" t="str">
            <v>5-1-01-01-005  ARTICULOS DE SEGURIDAD</v>
          </cell>
          <cell r="B164">
            <v>87787</v>
          </cell>
          <cell r="C164">
            <v>0</v>
          </cell>
          <cell r="D164">
            <v>87787</v>
          </cell>
          <cell r="E164">
            <v>0</v>
          </cell>
          <cell r="F164">
            <v>0</v>
          </cell>
          <cell r="G164">
            <v>0</v>
          </cell>
          <cell r="H164">
            <v>87787</v>
          </cell>
          <cell r="I164">
            <v>0</v>
          </cell>
          <cell r="J164">
            <v>-87787</v>
          </cell>
        </row>
        <row r="165">
          <cell r="A165" t="str">
            <v>5-1-01-02-002  INSUMOS BANOS</v>
          </cell>
          <cell r="B165">
            <v>1416615</v>
          </cell>
          <cell r="C165">
            <v>0</v>
          </cell>
          <cell r="D165">
            <v>1416615</v>
          </cell>
          <cell r="E165">
            <v>0</v>
          </cell>
          <cell r="F165">
            <v>0</v>
          </cell>
          <cell r="G165">
            <v>0</v>
          </cell>
          <cell r="H165">
            <v>1416615</v>
          </cell>
          <cell r="I165">
            <v>0</v>
          </cell>
          <cell r="J165">
            <v>-1416615</v>
          </cell>
        </row>
        <row r="166">
          <cell r="A166" t="str">
            <v>5-1-01-02-003  RETIRO BASURA O ESCOMBROS</v>
          </cell>
          <cell r="B166">
            <v>1614281</v>
          </cell>
          <cell r="C166">
            <v>0</v>
          </cell>
          <cell r="D166">
            <v>1614281</v>
          </cell>
          <cell r="E166">
            <v>0</v>
          </cell>
          <cell r="F166">
            <v>0</v>
          </cell>
          <cell r="G166">
            <v>0</v>
          </cell>
          <cell r="H166">
            <v>1614281</v>
          </cell>
          <cell r="I166">
            <v>0</v>
          </cell>
          <cell r="J166">
            <v>-1614281</v>
          </cell>
        </row>
        <row r="167">
          <cell r="A167" t="str">
            <v>5-1-01-02-006  ARTIUCLOS DE ASEO</v>
          </cell>
          <cell r="B167">
            <v>62328</v>
          </cell>
          <cell r="C167">
            <v>0</v>
          </cell>
          <cell r="D167">
            <v>62328</v>
          </cell>
          <cell r="E167">
            <v>0</v>
          </cell>
          <cell r="F167">
            <v>0</v>
          </cell>
          <cell r="G167">
            <v>0</v>
          </cell>
          <cell r="H167">
            <v>62328</v>
          </cell>
          <cell r="I167">
            <v>0</v>
          </cell>
          <cell r="J167">
            <v>-62328</v>
          </cell>
        </row>
        <row r="168">
          <cell r="A168" t="str">
            <v>5-1-01-03-001  SERVICIOS DE JARDINES Y PAISAJISMO</v>
          </cell>
          <cell r="B168">
            <v>4740547</v>
          </cell>
          <cell r="C168">
            <v>0</v>
          </cell>
          <cell r="D168">
            <v>4740547</v>
          </cell>
          <cell r="E168">
            <v>0</v>
          </cell>
          <cell r="F168">
            <v>0</v>
          </cell>
          <cell r="G168">
            <v>0</v>
          </cell>
          <cell r="H168">
            <v>4740547</v>
          </cell>
          <cell r="I168">
            <v>0</v>
          </cell>
          <cell r="J168">
            <v>-4740547</v>
          </cell>
        </row>
        <row r="169">
          <cell r="A169" t="str">
            <v>5-1-01-03-003  CONTROL DE PLAGAS</v>
          </cell>
          <cell r="B169">
            <v>1510562</v>
          </cell>
          <cell r="C169">
            <v>0</v>
          </cell>
          <cell r="D169">
            <v>1510562</v>
          </cell>
          <cell r="E169">
            <v>0</v>
          </cell>
          <cell r="F169">
            <v>0</v>
          </cell>
          <cell r="G169">
            <v>0</v>
          </cell>
          <cell r="H169">
            <v>1510562</v>
          </cell>
          <cell r="I169">
            <v>0</v>
          </cell>
          <cell r="J169">
            <v>-1510562</v>
          </cell>
        </row>
        <row r="170">
          <cell r="A170" t="str">
            <v>5-1-01-04-001  MANTENCION TRANSPORTE VERTICAL</v>
          </cell>
          <cell r="B170">
            <v>2994473</v>
          </cell>
          <cell r="C170">
            <v>0</v>
          </cell>
          <cell r="D170">
            <v>2994473</v>
          </cell>
          <cell r="E170">
            <v>0</v>
          </cell>
          <cell r="F170">
            <v>0</v>
          </cell>
          <cell r="G170">
            <v>0</v>
          </cell>
          <cell r="H170">
            <v>2994473</v>
          </cell>
          <cell r="I170">
            <v>0</v>
          </cell>
          <cell r="J170">
            <v>-2994473</v>
          </cell>
        </row>
        <row r="171">
          <cell r="A171" t="str">
            <v>5-1-01-04-002  MANTENCION TRANSPORTE VERTICAL CORRECTIVA</v>
          </cell>
          <cell r="B171">
            <v>727769</v>
          </cell>
          <cell r="C171">
            <v>0</v>
          </cell>
          <cell r="D171">
            <v>727769</v>
          </cell>
          <cell r="E171">
            <v>0</v>
          </cell>
          <cell r="F171">
            <v>0</v>
          </cell>
          <cell r="G171">
            <v>0</v>
          </cell>
          <cell r="H171">
            <v>727769</v>
          </cell>
          <cell r="I171">
            <v>0</v>
          </cell>
          <cell r="J171">
            <v>-727769</v>
          </cell>
        </row>
        <row r="172">
          <cell r="A172" t="str">
            <v>5-1-01-04-004  MANTENCION BOMBAS AP CORRECTIVA</v>
          </cell>
          <cell r="B172">
            <v>365700</v>
          </cell>
          <cell r="C172">
            <v>0</v>
          </cell>
          <cell r="D172">
            <v>365700</v>
          </cell>
          <cell r="E172">
            <v>0</v>
          </cell>
          <cell r="F172">
            <v>0</v>
          </cell>
          <cell r="G172">
            <v>0</v>
          </cell>
          <cell r="H172">
            <v>365700</v>
          </cell>
          <cell r="I172">
            <v>0</v>
          </cell>
          <cell r="J172">
            <v>-365700</v>
          </cell>
        </row>
        <row r="173">
          <cell r="A173" t="str">
            <v>5-1-01-04-007  MANTENCION CCTV</v>
          </cell>
          <cell r="B173">
            <v>8792642</v>
          </cell>
          <cell r="C173">
            <v>0</v>
          </cell>
          <cell r="D173">
            <v>8792642</v>
          </cell>
          <cell r="E173">
            <v>0</v>
          </cell>
          <cell r="F173">
            <v>0</v>
          </cell>
          <cell r="G173">
            <v>0</v>
          </cell>
          <cell r="H173">
            <v>8792642</v>
          </cell>
          <cell r="I173">
            <v>0</v>
          </cell>
          <cell r="J173">
            <v>-8792642</v>
          </cell>
        </row>
        <row r="174">
          <cell r="A174" t="str">
            <v>5-1-01-04-010  MANTENCION ALCANTARILLADOS</v>
          </cell>
          <cell r="B174">
            <v>2640000</v>
          </cell>
          <cell r="C174">
            <v>0</v>
          </cell>
          <cell r="D174">
            <v>2640000</v>
          </cell>
          <cell r="E174">
            <v>0</v>
          </cell>
          <cell r="F174">
            <v>0</v>
          </cell>
          <cell r="G174">
            <v>0</v>
          </cell>
          <cell r="H174">
            <v>2640000</v>
          </cell>
          <cell r="I174">
            <v>0</v>
          </cell>
          <cell r="J174">
            <v>-2640000</v>
          </cell>
        </row>
        <row r="175">
          <cell r="A175" t="str">
            <v>5-1-01-04-011  MANTENCION GENERAL</v>
          </cell>
          <cell r="B175">
            <v>8356417</v>
          </cell>
          <cell r="C175">
            <v>3209804</v>
          </cell>
          <cell r="D175">
            <v>5146613</v>
          </cell>
          <cell r="E175">
            <v>0</v>
          </cell>
          <cell r="F175">
            <v>0</v>
          </cell>
          <cell r="G175">
            <v>0</v>
          </cell>
          <cell r="H175">
            <v>5146613</v>
          </cell>
          <cell r="I175">
            <v>0</v>
          </cell>
          <cell r="J175">
            <v>-5146613</v>
          </cell>
        </row>
        <row r="176">
          <cell r="A176" t="str">
            <v>5-1-01-04-017  MANTENCION CLIMA CORRECTIVA</v>
          </cell>
          <cell r="B176">
            <v>35000</v>
          </cell>
          <cell r="C176">
            <v>0</v>
          </cell>
          <cell r="D176">
            <v>35000</v>
          </cell>
          <cell r="E176">
            <v>0</v>
          </cell>
          <cell r="F176">
            <v>0</v>
          </cell>
          <cell r="G176">
            <v>0</v>
          </cell>
          <cell r="H176">
            <v>35000</v>
          </cell>
          <cell r="I176">
            <v>0</v>
          </cell>
          <cell r="J176">
            <v>-35000</v>
          </cell>
        </row>
        <row r="177">
          <cell r="A177" t="str">
            <v>5-1-01-04-018  MANTENCION ELECTRICA CORRECTIVA</v>
          </cell>
          <cell r="B177">
            <v>947100</v>
          </cell>
          <cell r="C177">
            <v>0</v>
          </cell>
          <cell r="D177">
            <v>947100</v>
          </cell>
          <cell r="E177">
            <v>0</v>
          </cell>
          <cell r="F177">
            <v>0</v>
          </cell>
          <cell r="G177">
            <v>0</v>
          </cell>
          <cell r="H177">
            <v>947100</v>
          </cell>
          <cell r="I177">
            <v>0</v>
          </cell>
          <cell r="J177">
            <v>-947100</v>
          </cell>
        </row>
        <row r="178">
          <cell r="A178" t="str">
            <v>5-1-01-05-006  COMPRAS PETROLEO GAS BENCINA</v>
          </cell>
          <cell r="B178">
            <v>4132632</v>
          </cell>
          <cell r="C178">
            <v>0</v>
          </cell>
          <cell r="D178">
            <v>4132632</v>
          </cell>
          <cell r="E178">
            <v>0</v>
          </cell>
          <cell r="F178">
            <v>0</v>
          </cell>
          <cell r="G178">
            <v>0</v>
          </cell>
          <cell r="H178">
            <v>4132632</v>
          </cell>
          <cell r="I178">
            <v>0</v>
          </cell>
          <cell r="J178">
            <v>-4132632</v>
          </cell>
        </row>
        <row r="179">
          <cell r="A179" t="str">
            <v>5-1-01-06-001  CONSUMO AGUA COMUN</v>
          </cell>
          <cell r="B179">
            <v>7578721</v>
          </cell>
          <cell r="C179">
            <v>915406</v>
          </cell>
          <cell r="D179">
            <v>6663315</v>
          </cell>
          <cell r="E179">
            <v>0</v>
          </cell>
          <cell r="F179">
            <v>0</v>
          </cell>
          <cell r="G179">
            <v>0</v>
          </cell>
          <cell r="H179">
            <v>6663315</v>
          </cell>
          <cell r="I179">
            <v>0</v>
          </cell>
          <cell r="J179">
            <v>-6663315</v>
          </cell>
        </row>
        <row r="180">
          <cell r="A180" t="str">
            <v>5-1-01-06-002  CONSUMO ENERGIA COMUN</v>
          </cell>
          <cell r="B180">
            <v>115251966</v>
          </cell>
          <cell r="C180">
            <v>160381</v>
          </cell>
          <cell r="D180">
            <v>115091585</v>
          </cell>
          <cell r="E180">
            <v>0</v>
          </cell>
          <cell r="F180">
            <v>0</v>
          </cell>
          <cell r="G180">
            <v>0</v>
          </cell>
          <cell r="H180">
            <v>115091585</v>
          </cell>
          <cell r="I180">
            <v>0</v>
          </cell>
          <cell r="J180">
            <v>-115091585</v>
          </cell>
        </row>
        <row r="181">
          <cell r="A181" t="str">
            <v>5-1-01-06-003  GASTO COMUN PROPIO</v>
          </cell>
          <cell r="B181">
            <v>860742</v>
          </cell>
          <cell r="C181">
            <v>0</v>
          </cell>
          <cell r="D181">
            <v>860742</v>
          </cell>
          <cell r="E181">
            <v>0</v>
          </cell>
          <cell r="F181">
            <v>0</v>
          </cell>
          <cell r="G181">
            <v>0</v>
          </cell>
          <cell r="H181">
            <v>860742</v>
          </cell>
          <cell r="I181">
            <v>0</v>
          </cell>
          <cell r="J181">
            <v>-860742</v>
          </cell>
        </row>
        <row r="182">
          <cell r="A182" t="str">
            <v>5-1-01-06-004  SERVICIOS INFORMATICOS DE SISTEMAS</v>
          </cell>
          <cell r="B182">
            <v>8609689</v>
          </cell>
          <cell r="C182">
            <v>0</v>
          </cell>
          <cell r="D182">
            <v>8609689</v>
          </cell>
          <cell r="E182">
            <v>0</v>
          </cell>
          <cell r="F182">
            <v>0</v>
          </cell>
          <cell r="G182">
            <v>0</v>
          </cell>
          <cell r="H182">
            <v>8609689</v>
          </cell>
          <cell r="I182">
            <v>0</v>
          </cell>
          <cell r="J182">
            <v>-8609689</v>
          </cell>
        </row>
        <row r="183">
          <cell r="A183" t="str">
            <v>5-1-01-07-001  TELEFONO</v>
          </cell>
          <cell r="B183">
            <v>275058</v>
          </cell>
          <cell r="C183">
            <v>0</v>
          </cell>
          <cell r="D183">
            <v>275058</v>
          </cell>
          <cell r="E183">
            <v>0</v>
          </cell>
          <cell r="F183">
            <v>0</v>
          </cell>
          <cell r="G183">
            <v>0</v>
          </cell>
          <cell r="H183">
            <v>275058</v>
          </cell>
          <cell r="I183">
            <v>0</v>
          </cell>
          <cell r="J183">
            <v>-275058</v>
          </cell>
        </row>
        <row r="184">
          <cell r="A184" t="str">
            <v>5-1-01-07-002  INTERNET</v>
          </cell>
          <cell r="B184">
            <v>1802876</v>
          </cell>
          <cell r="C184">
            <v>0</v>
          </cell>
          <cell r="D184">
            <v>1802876</v>
          </cell>
          <cell r="E184">
            <v>0</v>
          </cell>
          <cell r="F184">
            <v>0</v>
          </cell>
          <cell r="G184">
            <v>0</v>
          </cell>
          <cell r="H184">
            <v>1802876</v>
          </cell>
          <cell r="I184">
            <v>0</v>
          </cell>
          <cell r="J184">
            <v>-1802876</v>
          </cell>
        </row>
        <row r="185">
          <cell r="A185" t="str">
            <v>5-1-01-07-005  ARTICULOS DE OFICINA</v>
          </cell>
          <cell r="B185">
            <v>1780616</v>
          </cell>
          <cell r="C185">
            <v>3</v>
          </cell>
          <cell r="D185">
            <v>1780613</v>
          </cell>
          <cell r="E185">
            <v>0</v>
          </cell>
          <cell r="F185">
            <v>0</v>
          </cell>
          <cell r="G185">
            <v>0</v>
          </cell>
          <cell r="H185">
            <v>1780613</v>
          </cell>
          <cell r="I185">
            <v>0</v>
          </cell>
          <cell r="J185">
            <v>-1780613</v>
          </cell>
        </row>
        <row r="186">
          <cell r="A186" t="str">
            <v>5-1-01-07-006  GASTO FLETES</v>
          </cell>
          <cell r="B186">
            <v>55752</v>
          </cell>
          <cell r="C186">
            <v>0</v>
          </cell>
          <cell r="D186">
            <v>55752</v>
          </cell>
          <cell r="E186">
            <v>0</v>
          </cell>
          <cell r="F186">
            <v>0</v>
          </cell>
          <cell r="G186">
            <v>0</v>
          </cell>
          <cell r="H186">
            <v>55752</v>
          </cell>
          <cell r="I186">
            <v>0</v>
          </cell>
          <cell r="J186">
            <v>-55752</v>
          </cell>
        </row>
        <row r="187">
          <cell r="A187" t="str">
            <v>5-1-01-08-001  SEGUROS BIENES FISICOS Y RESPONSABILIDAD CIVIL</v>
          </cell>
          <cell r="B187">
            <v>3576993</v>
          </cell>
          <cell r="C187">
            <v>0</v>
          </cell>
          <cell r="D187">
            <v>3576993</v>
          </cell>
          <cell r="E187">
            <v>0</v>
          </cell>
          <cell r="F187">
            <v>0</v>
          </cell>
          <cell r="G187">
            <v>0</v>
          </cell>
          <cell r="H187">
            <v>3576993</v>
          </cell>
          <cell r="I187">
            <v>0</v>
          </cell>
          <cell r="J187">
            <v>-3576993</v>
          </cell>
        </row>
        <row r="188">
          <cell r="A188" t="str">
            <v>5-1-01-10-003  REMUNERACIONES TENS Y RRHH</v>
          </cell>
          <cell r="B188">
            <v>4932486</v>
          </cell>
          <cell r="C188">
            <v>0</v>
          </cell>
          <cell r="D188">
            <v>4932486</v>
          </cell>
          <cell r="E188">
            <v>0</v>
          </cell>
          <cell r="F188">
            <v>0</v>
          </cell>
          <cell r="G188">
            <v>0</v>
          </cell>
          <cell r="H188">
            <v>4932486</v>
          </cell>
          <cell r="I188">
            <v>0</v>
          </cell>
          <cell r="J188">
            <v>-4932486</v>
          </cell>
        </row>
        <row r="189">
          <cell r="A189" t="str">
            <v>5-1-01-11-001  HABILITACIÓN LOCALES OUTLET FLORIDA</v>
          </cell>
          <cell r="B189">
            <v>15754571</v>
          </cell>
          <cell r="C189">
            <v>0</v>
          </cell>
          <cell r="D189">
            <v>15754571</v>
          </cell>
          <cell r="E189">
            <v>0</v>
          </cell>
          <cell r="F189">
            <v>0</v>
          </cell>
          <cell r="G189">
            <v>0</v>
          </cell>
          <cell r="H189">
            <v>15754571</v>
          </cell>
          <cell r="I189">
            <v>0</v>
          </cell>
          <cell r="J189">
            <v>-15754571</v>
          </cell>
        </row>
        <row r="190">
          <cell r="A190" t="str">
            <v>5-1-01-11-002  HABILITACIÓN LOCALES STRIP FLORIDA</v>
          </cell>
          <cell r="B190">
            <v>8152563</v>
          </cell>
          <cell r="C190">
            <v>4496660</v>
          </cell>
          <cell r="D190">
            <v>3655903</v>
          </cell>
          <cell r="E190">
            <v>0</v>
          </cell>
          <cell r="F190">
            <v>0</v>
          </cell>
          <cell r="G190">
            <v>0</v>
          </cell>
          <cell r="H190">
            <v>3655903</v>
          </cell>
          <cell r="I190">
            <v>0</v>
          </cell>
          <cell r="J190">
            <v>-3655903</v>
          </cell>
        </row>
        <row r="191">
          <cell r="A191" t="str">
            <v>5-1-03-01-004  PROMOCIONES VARIAS</v>
          </cell>
          <cell r="B191">
            <v>952394</v>
          </cell>
          <cell r="C191">
            <v>0</v>
          </cell>
          <cell r="D191">
            <v>952394</v>
          </cell>
          <cell r="E191">
            <v>0</v>
          </cell>
          <cell r="F191">
            <v>0</v>
          </cell>
          <cell r="G191">
            <v>0</v>
          </cell>
          <cell r="H191">
            <v>952394</v>
          </cell>
          <cell r="I191">
            <v>0</v>
          </cell>
          <cell r="J191">
            <v>-952394</v>
          </cell>
        </row>
        <row r="192">
          <cell r="A192" t="str">
            <v>5-1-03-01-005  GASTOS DERECHO AUTOR</v>
          </cell>
          <cell r="B192">
            <v>565516</v>
          </cell>
          <cell r="C192">
            <v>0</v>
          </cell>
          <cell r="D192">
            <v>565516</v>
          </cell>
          <cell r="E192">
            <v>0</v>
          </cell>
          <cell r="F192">
            <v>0</v>
          </cell>
          <cell r="G192">
            <v>0</v>
          </cell>
          <cell r="H192">
            <v>565516</v>
          </cell>
          <cell r="I192">
            <v>0</v>
          </cell>
          <cell r="J192">
            <v>-565516</v>
          </cell>
        </row>
        <row r="193">
          <cell r="A193" t="str">
            <v>5-2-01-01-001  REMUNERACIONES BRUTAS</v>
          </cell>
          <cell r="B193">
            <v>143789136</v>
          </cell>
          <cell r="C193">
            <v>0</v>
          </cell>
          <cell r="D193">
            <v>143789136</v>
          </cell>
          <cell r="E193">
            <v>0</v>
          </cell>
          <cell r="F193">
            <v>0</v>
          </cell>
          <cell r="G193">
            <v>0</v>
          </cell>
          <cell r="H193">
            <v>143789136</v>
          </cell>
          <cell r="I193">
            <v>0</v>
          </cell>
          <cell r="J193">
            <v>-143789136</v>
          </cell>
        </row>
        <row r="194">
          <cell r="A194" t="str">
            <v>5-2-01-01-002  APORTES PATRONALES</v>
          </cell>
          <cell r="B194">
            <v>2216554</v>
          </cell>
          <cell r="C194">
            <v>0</v>
          </cell>
          <cell r="D194">
            <v>2216554</v>
          </cell>
          <cell r="E194">
            <v>0</v>
          </cell>
          <cell r="F194">
            <v>0</v>
          </cell>
          <cell r="G194">
            <v>0</v>
          </cell>
          <cell r="H194">
            <v>2216554</v>
          </cell>
          <cell r="I194">
            <v>0</v>
          </cell>
          <cell r="J194">
            <v>-2216554</v>
          </cell>
        </row>
        <row r="195">
          <cell r="A195" t="str">
            <v>5-2-01-01-003  FINIQUITOS</v>
          </cell>
          <cell r="B195">
            <v>2669762</v>
          </cell>
          <cell r="C195">
            <v>0</v>
          </cell>
          <cell r="D195">
            <v>2669762</v>
          </cell>
          <cell r="E195">
            <v>0</v>
          </cell>
          <cell r="F195">
            <v>0</v>
          </cell>
          <cell r="G195">
            <v>0</v>
          </cell>
          <cell r="H195">
            <v>2669762</v>
          </cell>
          <cell r="I195">
            <v>0</v>
          </cell>
          <cell r="J195">
            <v>-2669762</v>
          </cell>
        </row>
        <row r="196">
          <cell r="A196" t="str">
            <v>5-2-01-01-004  GRATIFICACIONES</v>
          </cell>
          <cell r="B196">
            <v>4540786</v>
          </cell>
          <cell r="C196">
            <v>0</v>
          </cell>
          <cell r="D196">
            <v>4540786</v>
          </cell>
          <cell r="E196">
            <v>0</v>
          </cell>
          <cell r="F196">
            <v>0</v>
          </cell>
          <cell r="G196">
            <v>0</v>
          </cell>
          <cell r="H196">
            <v>4540786</v>
          </cell>
          <cell r="I196">
            <v>0</v>
          </cell>
          <cell r="J196">
            <v>-4540786</v>
          </cell>
        </row>
        <row r="197">
          <cell r="A197" t="str">
            <v>5-2-01-01-006  OTROS NO IMPONIBLES</v>
          </cell>
          <cell r="B197">
            <v>3623830</v>
          </cell>
          <cell r="C197">
            <v>0</v>
          </cell>
          <cell r="D197">
            <v>3623830</v>
          </cell>
          <cell r="E197">
            <v>0</v>
          </cell>
          <cell r="F197">
            <v>0</v>
          </cell>
          <cell r="G197">
            <v>0</v>
          </cell>
          <cell r="H197">
            <v>3623830</v>
          </cell>
          <cell r="I197">
            <v>0</v>
          </cell>
          <cell r="J197">
            <v>-3623830</v>
          </cell>
        </row>
        <row r="198">
          <cell r="A198" t="str">
            <v>5-2-01-01-008  SEGURO COMPLEMENTARIO SALUD</v>
          </cell>
          <cell r="B198">
            <v>1309562</v>
          </cell>
          <cell r="C198">
            <v>294503</v>
          </cell>
          <cell r="D198">
            <v>1015059</v>
          </cell>
          <cell r="E198">
            <v>0</v>
          </cell>
          <cell r="F198">
            <v>0</v>
          </cell>
          <cell r="G198">
            <v>0</v>
          </cell>
          <cell r="H198">
            <v>1015059</v>
          </cell>
          <cell r="I198">
            <v>0</v>
          </cell>
          <cell r="J198">
            <v>-1015059</v>
          </cell>
        </row>
        <row r="199">
          <cell r="A199" t="str">
            <v>5-2-01-02-001  HONORARIOS CONTABLES</v>
          </cell>
          <cell r="B199">
            <v>0</v>
          </cell>
          <cell r="C199">
            <v>259390</v>
          </cell>
          <cell r="D199">
            <v>0</v>
          </cell>
          <cell r="E199">
            <v>259390</v>
          </cell>
          <cell r="F199">
            <v>0</v>
          </cell>
          <cell r="G199">
            <v>0</v>
          </cell>
          <cell r="H199">
            <v>0</v>
          </cell>
          <cell r="I199">
            <v>259390</v>
          </cell>
          <cell r="J199">
            <v>259390</v>
          </cell>
        </row>
        <row r="200">
          <cell r="A200" t="str">
            <v>5-2-01-02-002  HONORARIOS SERVICIOS LEGALES</v>
          </cell>
          <cell r="B200">
            <v>1884620</v>
          </cell>
          <cell r="C200">
            <v>90000</v>
          </cell>
          <cell r="D200">
            <v>1794620</v>
          </cell>
          <cell r="E200">
            <v>0</v>
          </cell>
          <cell r="F200">
            <v>0</v>
          </cell>
          <cell r="G200">
            <v>0</v>
          </cell>
          <cell r="H200">
            <v>1794620</v>
          </cell>
          <cell r="I200">
            <v>0</v>
          </cell>
          <cell r="J200">
            <v>-1794620</v>
          </cell>
        </row>
        <row r="201">
          <cell r="A201" t="str">
            <v>5-2-01-02-003  ASESORIAS Y CONSULTORIAS</v>
          </cell>
          <cell r="B201">
            <v>68004692</v>
          </cell>
          <cell r="C201">
            <v>989000</v>
          </cell>
          <cell r="D201">
            <v>67015692</v>
          </cell>
          <cell r="E201">
            <v>0</v>
          </cell>
          <cell r="F201">
            <v>0</v>
          </cell>
          <cell r="G201">
            <v>0</v>
          </cell>
          <cell r="H201">
            <v>67015692</v>
          </cell>
          <cell r="I201">
            <v>0</v>
          </cell>
          <cell r="J201">
            <v>-67015692</v>
          </cell>
        </row>
        <row r="202">
          <cell r="A202" t="str">
            <v>5-2-01-02-004  SERVICIOS DE ASEO</v>
          </cell>
          <cell r="B202">
            <v>24192340</v>
          </cell>
          <cell r="C202">
            <v>2522586</v>
          </cell>
          <cell r="D202">
            <v>21669754</v>
          </cell>
          <cell r="E202">
            <v>0</v>
          </cell>
          <cell r="F202">
            <v>0</v>
          </cell>
          <cell r="G202">
            <v>0</v>
          </cell>
          <cell r="H202">
            <v>21669754</v>
          </cell>
          <cell r="I202">
            <v>0</v>
          </cell>
          <cell r="J202">
            <v>-21669754</v>
          </cell>
        </row>
        <row r="203">
          <cell r="A203" t="str">
            <v>5-2-01-02-005  SERVICIOS DE ARQUITECTURA</v>
          </cell>
          <cell r="B203">
            <v>269928</v>
          </cell>
          <cell r="C203">
            <v>0</v>
          </cell>
          <cell r="D203">
            <v>269928</v>
          </cell>
          <cell r="E203">
            <v>0</v>
          </cell>
          <cell r="F203">
            <v>0</v>
          </cell>
          <cell r="G203">
            <v>0</v>
          </cell>
          <cell r="H203">
            <v>269928</v>
          </cell>
          <cell r="I203">
            <v>0</v>
          </cell>
          <cell r="J203">
            <v>-269928</v>
          </cell>
        </row>
        <row r="204">
          <cell r="A204" t="str">
            <v>5-2-01-02-007  SERVICIOS DE PUBLICIDAD Y MARKETING</v>
          </cell>
          <cell r="B204">
            <v>9228988</v>
          </cell>
          <cell r="C204">
            <v>0</v>
          </cell>
          <cell r="D204">
            <v>9228988</v>
          </cell>
          <cell r="E204">
            <v>0</v>
          </cell>
          <cell r="F204">
            <v>0</v>
          </cell>
          <cell r="G204">
            <v>0</v>
          </cell>
          <cell r="H204">
            <v>9228988</v>
          </cell>
          <cell r="I204">
            <v>0</v>
          </cell>
          <cell r="J204">
            <v>-9228988</v>
          </cell>
        </row>
        <row r="205">
          <cell r="A205" t="str">
            <v>5-2-01-02-009  COSTO VENTA ACTIVO FIJO</v>
          </cell>
          <cell r="B205">
            <v>199890842</v>
          </cell>
          <cell r="C205">
            <v>0</v>
          </cell>
          <cell r="D205">
            <v>199890842</v>
          </cell>
          <cell r="E205">
            <v>0</v>
          </cell>
          <cell r="F205">
            <v>0</v>
          </cell>
          <cell r="G205">
            <v>0</v>
          </cell>
          <cell r="H205">
            <v>199890842</v>
          </cell>
          <cell r="I205">
            <v>0</v>
          </cell>
          <cell r="J205">
            <v>-199890842</v>
          </cell>
        </row>
        <row r="206">
          <cell r="A206" t="str">
            <v>5-2-01-03-002  GASTOS NOTARIALES</v>
          </cell>
          <cell r="B206">
            <v>1003500</v>
          </cell>
          <cell r="C206">
            <v>0</v>
          </cell>
          <cell r="D206">
            <v>1003500</v>
          </cell>
          <cell r="E206">
            <v>0</v>
          </cell>
          <cell r="F206">
            <v>0</v>
          </cell>
          <cell r="G206">
            <v>0</v>
          </cell>
          <cell r="H206">
            <v>1003500</v>
          </cell>
          <cell r="I206">
            <v>0</v>
          </cell>
          <cell r="J206">
            <v>-1003500</v>
          </cell>
        </row>
        <row r="207">
          <cell r="A207" t="str">
            <v>5-2-01-03-004  GASTO IVA PROPORCIONAL</v>
          </cell>
          <cell r="B207">
            <v>11488040</v>
          </cell>
          <cell r="C207">
            <v>0</v>
          </cell>
          <cell r="D207">
            <v>11488040</v>
          </cell>
          <cell r="E207">
            <v>0</v>
          </cell>
          <cell r="F207">
            <v>0</v>
          </cell>
          <cell r="G207">
            <v>0</v>
          </cell>
          <cell r="H207">
            <v>11488040</v>
          </cell>
          <cell r="I207">
            <v>0</v>
          </cell>
          <cell r="J207">
            <v>-11488040</v>
          </cell>
        </row>
        <row r="208">
          <cell r="A208" t="str">
            <v>5-2-01-03-006  GASTOS GENERALES</v>
          </cell>
          <cell r="B208">
            <v>716264</v>
          </cell>
          <cell r="C208">
            <v>55001</v>
          </cell>
          <cell r="D208">
            <v>661263</v>
          </cell>
          <cell r="E208">
            <v>0</v>
          </cell>
          <cell r="F208">
            <v>0</v>
          </cell>
          <cell r="G208">
            <v>0</v>
          </cell>
          <cell r="H208">
            <v>661263</v>
          </cell>
          <cell r="I208">
            <v>0</v>
          </cell>
          <cell r="J208">
            <v>-661263</v>
          </cell>
        </row>
        <row r="209">
          <cell r="A209" t="str">
            <v>5-2-01-05-001  GASTOS DE REPRESENTACION</v>
          </cell>
          <cell r="B209">
            <v>2514600</v>
          </cell>
          <cell r="C209">
            <v>0</v>
          </cell>
          <cell r="D209">
            <v>2514600</v>
          </cell>
          <cell r="E209">
            <v>0</v>
          </cell>
          <cell r="F209">
            <v>0</v>
          </cell>
          <cell r="G209">
            <v>0</v>
          </cell>
          <cell r="H209">
            <v>2514600</v>
          </cell>
          <cell r="I209">
            <v>0</v>
          </cell>
          <cell r="J209">
            <v>-2514600</v>
          </cell>
        </row>
        <row r="210">
          <cell r="A210" t="str">
            <v>5-2-01-06-001  ARRIENDOS</v>
          </cell>
          <cell r="B210">
            <v>5264416</v>
          </cell>
          <cell r="C210">
            <v>0</v>
          </cell>
          <cell r="D210">
            <v>5264416</v>
          </cell>
          <cell r="E210">
            <v>0</v>
          </cell>
          <cell r="F210">
            <v>0</v>
          </cell>
          <cell r="G210">
            <v>0</v>
          </cell>
          <cell r="H210">
            <v>5264416</v>
          </cell>
          <cell r="I210">
            <v>0</v>
          </cell>
          <cell r="J210">
            <v>-5264416</v>
          </cell>
        </row>
        <row r="211">
          <cell r="A211" t="str">
            <v>5-2-01-07-001  CONTRIBUCIONES</v>
          </cell>
          <cell r="B211">
            <v>376485910</v>
          </cell>
          <cell r="C211">
            <v>14331779</v>
          </cell>
          <cell r="D211">
            <v>362154131</v>
          </cell>
          <cell r="E211">
            <v>0</v>
          </cell>
          <cell r="F211">
            <v>0</v>
          </cell>
          <cell r="G211">
            <v>0</v>
          </cell>
          <cell r="H211">
            <v>362154131</v>
          </cell>
          <cell r="I211">
            <v>0</v>
          </cell>
          <cell r="J211">
            <v>-362154131</v>
          </cell>
        </row>
        <row r="212">
          <cell r="A212" t="str">
            <v>5-3-01-01-001  INTERESES LEASING</v>
          </cell>
          <cell r="B212">
            <v>69721981</v>
          </cell>
          <cell r="C212">
            <v>4</v>
          </cell>
          <cell r="D212">
            <v>69721977</v>
          </cell>
          <cell r="E212">
            <v>0</v>
          </cell>
          <cell r="F212">
            <v>0</v>
          </cell>
          <cell r="G212">
            <v>0</v>
          </cell>
          <cell r="H212">
            <v>69721977</v>
          </cell>
          <cell r="I212">
            <v>0</v>
          </cell>
          <cell r="J212">
            <v>-69721977</v>
          </cell>
        </row>
        <row r="213">
          <cell r="A213" t="str">
            <v>5-3-01-01-002  GASTOS BANCARIOS</v>
          </cell>
          <cell r="B213">
            <v>3973005</v>
          </cell>
          <cell r="C213">
            <v>0</v>
          </cell>
          <cell r="D213">
            <v>3973005</v>
          </cell>
          <cell r="E213">
            <v>0</v>
          </cell>
          <cell r="F213">
            <v>0</v>
          </cell>
          <cell r="G213">
            <v>0</v>
          </cell>
          <cell r="H213">
            <v>3973005</v>
          </cell>
          <cell r="I213">
            <v>0</v>
          </cell>
          <cell r="J213">
            <v>-3973005</v>
          </cell>
        </row>
        <row r="214">
          <cell r="A214" t="str">
            <v>5-3-01-01-003  MULTAS INTERESES Y REAJUSTES</v>
          </cell>
          <cell r="B214">
            <v>660992</v>
          </cell>
          <cell r="C214">
            <v>0</v>
          </cell>
          <cell r="D214">
            <v>660992</v>
          </cell>
          <cell r="E214">
            <v>0</v>
          </cell>
          <cell r="F214">
            <v>0</v>
          </cell>
          <cell r="G214">
            <v>0</v>
          </cell>
          <cell r="H214">
            <v>660992</v>
          </cell>
          <cell r="I214">
            <v>0</v>
          </cell>
          <cell r="J214">
            <v>-660992</v>
          </cell>
        </row>
        <row r="215">
          <cell r="A215" t="str">
            <v>5-3-01-01-005  GASTOS E INTERESES COMERCIALES</v>
          </cell>
          <cell r="B215">
            <v>52031171</v>
          </cell>
          <cell r="C215">
            <v>0</v>
          </cell>
          <cell r="D215">
            <v>52031171</v>
          </cell>
          <cell r="E215">
            <v>0</v>
          </cell>
          <cell r="F215">
            <v>0</v>
          </cell>
          <cell r="G215">
            <v>0</v>
          </cell>
          <cell r="H215">
            <v>52031171</v>
          </cell>
          <cell r="I215">
            <v>0</v>
          </cell>
          <cell r="J215">
            <v>-52031171</v>
          </cell>
        </row>
        <row r="216">
          <cell r="A216" t="str">
            <v>5-3-01-02-006  GANANCIA (PERDIDA) SWAP</v>
          </cell>
          <cell r="B216">
            <v>87826424</v>
          </cell>
          <cell r="C216">
            <v>0</v>
          </cell>
          <cell r="D216">
            <v>87826424</v>
          </cell>
          <cell r="E216">
            <v>0</v>
          </cell>
          <cell r="F216">
            <v>0</v>
          </cell>
          <cell r="G216">
            <v>0</v>
          </cell>
          <cell r="H216">
            <v>87826424</v>
          </cell>
          <cell r="I216">
            <v>0</v>
          </cell>
          <cell r="J216">
            <v>-87826424</v>
          </cell>
        </row>
        <row r="217">
          <cell r="A217" t="str">
            <v>5-3-01-02-007  MAYOR / MENOR VALOR DE INVERSIONES</v>
          </cell>
          <cell r="B217">
            <v>35434978</v>
          </cell>
          <cell r="C217">
            <v>0</v>
          </cell>
          <cell r="D217">
            <v>35434978</v>
          </cell>
          <cell r="E217">
            <v>0</v>
          </cell>
          <cell r="F217">
            <v>0</v>
          </cell>
          <cell r="G217">
            <v>0</v>
          </cell>
          <cell r="H217">
            <v>35434978</v>
          </cell>
          <cell r="I217">
            <v>0</v>
          </cell>
          <cell r="J217">
            <v>-35434978</v>
          </cell>
        </row>
        <row r="218">
          <cell r="A218" t="str">
            <v>5-3-01-02-020  COSTO MANDATO INVERSIONES NUEVA SANTA FIDELMIRA LIMITADA</v>
          </cell>
          <cell r="B218">
            <v>75197158</v>
          </cell>
          <cell r="C218">
            <v>0</v>
          </cell>
          <cell r="D218">
            <v>75197158</v>
          </cell>
          <cell r="E218">
            <v>0</v>
          </cell>
          <cell r="F218">
            <v>0</v>
          </cell>
          <cell r="G218">
            <v>0</v>
          </cell>
          <cell r="H218">
            <v>75197158</v>
          </cell>
          <cell r="I218">
            <v>0</v>
          </cell>
          <cell r="J218">
            <v>-75197158</v>
          </cell>
        </row>
        <row r="219">
          <cell r="A219" t="str">
            <v>5-3-01-03-001  CORRECCION MONETARIA ACTIVOS</v>
          </cell>
          <cell r="B219">
            <v>0</v>
          </cell>
          <cell r="C219">
            <v>1455334</v>
          </cell>
          <cell r="D219">
            <v>0</v>
          </cell>
          <cell r="E219">
            <v>1455334</v>
          </cell>
          <cell r="F219">
            <v>0</v>
          </cell>
          <cell r="G219">
            <v>0</v>
          </cell>
          <cell r="H219">
            <v>0</v>
          </cell>
          <cell r="I219">
            <v>1455334</v>
          </cell>
          <cell r="J219">
            <v>1455334</v>
          </cell>
        </row>
        <row r="220">
          <cell r="A220" t="str">
            <v>5-3-01-03-004  CORRECCION REMANENTE CREDITO FISCAL</v>
          </cell>
          <cell r="B220">
            <v>0</v>
          </cell>
          <cell r="C220">
            <v>391735</v>
          </cell>
          <cell r="D220">
            <v>0</v>
          </cell>
          <cell r="E220">
            <v>391735</v>
          </cell>
          <cell r="F220">
            <v>0</v>
          </cell>
          <cell r="G220">
            <v>0</v>
          </cell>
          <cell r="H220">
            <v>0</v>
          </cell>
          <cell r="I220">
            <v>391735</v>
          </cell>
          <cell r="J220">
            <v>391735</v>
          </cell>
        </row>
        <row r="221">
          <cell r="A221" t="str">
            <v>5-3-01-03-006  CORRECCION EN UF</v>
          </cell>
          <cell r="B221">
            <v>368242188</v>
          </cell>
          <cell r="C221">
            <v>214952412</v>
          </cell>
          <cell r="D221">
            <v>153289776</v>
          </cell>
          <cell r="E221">
            <v>0</v>
          </cell>
          <cell r="F221">
            <v>0</v>
          </cell>
          <cell r="G221">
            <v>0</v>
          </cell>
          <cell r="H221">
            <v>153289776</v>
          </cell>
          <cell r="I221">
            <v>0</v>
          </cell>
          <cell r="J221">
            <v>-153289776</v>
          </cell>
        </row>
        <row r="222">
          <cell r="A222" t="str">
            <v>5-3-01-03-011  VARIACION USD</v>
          </cell>
          <cell r="B222">
            <v>26218760</v>
          </cell>
          <cell r="C222">
            <v>24650181</v>
          </cell>
          <cell r="D222">
            <v>1568579</v>
          </cell>
          <cell r="E222">
            <v>0</v>
          </cell>
          <cell r="F222">
            <v>0</v>
          </cell>
          <cell r="G222">
            <v>0</v>
          </cell>
          <cell r="H222">
            <v>1568579</v>
          </cell>
          <cell r="I222">
            <v>0</v>
          </cell>
          <cell r="J222">
            <v>-1568579</v>
          </cell>
        </row>
        <row r="223">
          <cell r="A223" t="str">
            <v>5-3-01-05-001  DEPRECIACIONES</v>
          </cell>
          <cell r="B223">
            <v>207246519</v>
          </cell>
          <cell r="C223">
            <v>0</v>
          </cell>
          <cell r="D223">
            <v>207246519</v>
          </cell>
          <cell r="E223">
            <v>0</v>
          </cell>
          <cell r="F223">
            <v>0</v>
          </cell>
          <cell r="G223">
            <v>0</v>
          </cell>
          <cell r="H223">
            <v>207246519</v>
          </cell>
          <cell r="I223">
            <v>0</v>
          </cell>
          <cell r="J223">
            <v>-207246519</v>
          </cell>
        </row>
        <row r="224">
          <cell r="A224" t="str">
            <v>5-3-01-05-002  DEPRECIACION BIENES EN LEASING</v>
          </cell>
          <cell r="B224">
            <v>367051112</v>
          </cell>
          <cell r="C224">
            <v>0</v>
          </cell>
          <cell r="D224">
            <v>367051112</v>
          </cell>
          <cell r="E224">
            <v>0</v>
          </cell>
          <cell r="F224">
            <v>0</v>
          </cell>
          <cell r="G224">
            <v>0</v>
          </cell>
          <cell r="H224">
            <v>367051112</v>
          </cell>
          <cell r="I224">
            <v>0</v>
          </cell>
          <cell r="J224">
            <v>-367051112</v>
          </cell>
        </row>
        <row r="225">
          <cell r="A225" t="str">
            <v>Sub-Totales</v>
          </cell>
          <cell r="B225">
            <v>11184558538</v>
          </cell>
          <cell r="C225">
            <v>11184558538</v>
          </cell>
          <cell r="D225">
            <v>3477185531</v>
          </cell>
          <cell r="E225">
            <v>3477185531</v>
          </cell>
          <cell r="F225">
            <v>1085132455</v>
          </cell>
          <cell r="G225">
            <v>1900650724</v>
          </cell>
          <cell r="H225">
            <v>2392053076</v>
          </cell>
          <cell r="I225">
            <v>1576534807</v>
          </cell>
          <cell r="J225">
            <v>0</v>
          </cell>
        </row>
        <row r="226">
          <cell r="A226" t="str">
            <v>Pérdidas / Ganancias</v>
          </cell>
          <cell r="B226"/>
          <cell r="C226"/>
          <cell r="D226"/>
          <cell r="E226"/>
          <cell r="F226">
            <v>815518269</v>
          </cell>
          <cell r="G226"/>
          <cell r="H226"/>
          <cell r="I226">
            <v>815518269</v>
          </cell>
          <cell r="J226">
            <v>0</v>
          </cell>
        </row>
        <row r="227">
          <cell r="A227" t="str">
            <v>Total General</v>
          </cell>
          <cell r="B227">
            <v>11184558538</v>
          </cell>
          <cell r="C227">
            <v>11184558538</v>
          </cell>
          <cell r="D227">
            <v>3477185531</v>
          </cell>
          <cell r="E227">
            <v>3477185531</v>
          </cell>
          <cell r="F227">
            <v>1900650724</v>
          </cell>
          <cell r="G227">
            <v>1900650724</v>
          </cell>
          <cell r="H227">
            <v>2392053076</v>
          </cell>
          <cell r="I227">
            <v>2392053076</v>
          </cell>
        </row>
      </sheetData>
      <sheetData sheetId="15">
        <row r="1">
          <cell r="A1" t="str">
            <v>INVERSIONES SANTA FIDELMIRA LIMITADA</v>
          </cell>
          <cell r="B1"/>
          <cell r="C1"/>
          <cell r="D1"/>
          <cell r="E1"/>
          <cell r="F1"/>
          <cell r="G1"/>
          <cell r="H1"/>
          <cell r="I1"/>
        </row>
        <row r="2">
          <cell r="A2" t="str">
            <v>ARRIENDO, EXPLOTACION  BIENES INMUEBLES</v>
          </cell>
          <cell r="B2"/>
          <cell r="C2"/>
          <cell r="D2"/>
          <cell r="E2"/>
          <cell r="F2"/>
          <cell r="G2"/>
          <cell r="H2"/>
          <cell r="I2"/>
        </row>
        <row r="3">
          <cell r="A3" t="str">
            <v>MAIPU #599</v>
          </cell>
          <cell r="B3"/>
          <cell r="C3"/>
          <cell r="D3"/>
          <cell r="E3"/>
          <cell r="F3"/>
          <cell r="G3"/>
          <cell r="H3"/>
          <cell r="I3"/>
        </row>
        <row r="4">
          <cell r="A4" t="str">
            <v>LINARES</v>
          </cell>
          <cell r="B4"/>
          <cell r="C4"/>
          <cell r="D4"/>
          <cell r="E4"/>
          <cell r="F4"/>
          <cell r="G4"/>
          <cell r="H4"/>
          <cell r="I4"/>
        </row>
        <row r="5">
          <cell r="A5" t="str">
            <v>LINARES</v>
          </cell>
          <cell r="B5"/>
          <cell r="C5"/>
          <cell r="D5"/>
          <cell r="E5"/>
          <cell r="F5"/>
          <cell r="G5"/>
          <cell r="H5"/>
          <cell r="I5"/>
        </row>
        <row r="6">
          <cell r="A6" t="str">
            <v>79.991.280-5</v>
          </cell>
          <cell r="B6"/>
          <cell r="C6"/>
          <cell r="D6"/>
          <cell r="E6"/>
          <cell r="F6"/>
          <cell r="G6"/>
          <cell r="H6" t="str">
            <v>Fecha :</v>
          </cell>
          <cell r="I6" t="str">
            <v>21/10/2025</v>
          </cell>
        </row>
        <row r="8">
          <cell r="A8" t="str">
            <v>Balance Tributario</v>
          </cell>
          <cell r="B8"/>
          <cell r="C8"/>
          <cell r="D8"/>
          <cell r="E8"/>
          <cell r="F8"/>
          <cell r="G8"/>
          <cell r="H8"/>
          <cell r="I8"/>
        </row>
        <row r="9">
          <cell r="A9" t="str">
            <v xml:space="preserve"> Desde :Julio/2025</v>
          </cell>
          <cell r="B9"/>
          <cell r="C9"/>
          <cell r="D9"/>
          <cell r="E9"/>
          <cell r="F9"/>
          <cell r="G9"/>
          <cell r="H9"/>
          <cell r="I9"/>
        </row>
        <row r="10">
          <cell r="A10" t="str">
            <v xml:space="preserve"> Hasta :Julio/2025</v>
          </cell>
          <cell r="B10"/>
          <cell r="C10"/>
          <cell r="D10"/>
          <cell r="E10"/>
          <cell r="F10"/>
          <cell r="G10"/>
          <cell r="H10"/>
          <cell r="I10"/>
        </row>
        <row r="12">
          <cell r="A12" t="str">
            <v>Cuenta Contable</v>
          </cell>
          <cell r="B12" t="str">
            <v>Valores Acumulados</v>
          </cell>
          <cell r="C12"/>
          <cell r="D12" t="str">
            <v>Saldos</v>
          </cell>
          <cell r="E12"/>
          <cell r="F12" t="str">
            <v>Inventario</v>
          </cell>
          <cell r="G12"/>
          <cell r="H12" t="str">
            <v>Resultados</v>
          </cell>
          <cell r="I12"/>
        </row>
        <row r="13">
          <cell r="A13"/>
          <cell r="B13" t="str">
            <v>Débitos</v>
          </cell>
          <cell r="C13" t="str">
            <v>Créditos</v>
          </cell>
          <cell r="D13" t="str">
            <v>Deudor</v>
          </cell>
          <cell r="E13" t="str">
            <v>Acreedor</v>
          </cell>
          <cell r="F13" t="str">
            <v>Activo</v>
          </cell>
          <cell r="G13" t="str">
            <v>Pasivo</v>
          </cell>
          <cell r="H13" t="str">
            <v>Pérdida</v>
          </cell>
          <cell r="I13" t="str">
            <v>Ganancia</v>
          </cell>
        </row>
        <row r="14">
          <cell r="A14" t="str">
            <v>1-1-10-01-004  CAJA CHICA OUTLET TALCA</v>
          </cell>
          <cell r="B14">
            <v>6000000</v>
          </cell>
          <cell r="C14">
            <v>4593981</v>
          </cell>
          <cell r="D14">
            <v>1406019</v>
          </cell>
          <cell r="E14">
            <v>0</v>
          </cell>
          <cell r="F14">
            <v>1406019</v>
          </cell>
          <cell r="G14">
            <v>0</v>
          </cell>
          <cell r="H14">
            <v>0</v>
          </cell>
          <cell r="I14">
            <v>0</v>
          </cell>
          <cell r="J14">
            <v>1406019</v>
          </cell>
        </row>
        <row r="15">
          <cell r="A15" t="str">
            <v>1-1-10-01-005  CAJA CHICA LINARES</v>
          </cell>
          <cell r="B15">
            <v>0</v>
          </cell>
          <cell r="C15">
            <v>1029227</v>
          </cell>
          <cell r="D15">
            <v>0</v>
          </cell>
          <cell r="E15">
            <v>1029227</v>
          </cell>
          <cell r="F15">
            <v>0</v>
          </cell>
          <cell r="G15">
            <v>1029227</v>
          </cell>
          <cell r="H15">
            <v>0</v>
          </cell>
          <cell r="I15">
            <v>0</v>
          </cell>
          <cell r="J15">
            <v>-1029227</v>
          </cell>
        </row>
        <row r="16">
          <cell r="A16" t="str">
            <v>1-1-10-01-007  CAJA CHICA SANTIAGO</v>
          </cell>
          <cell r="B16">
            <v>122139</v>
          </cell>
          <cell r="C16">
            <v>271536</v>
          </cell>
          <cell r="D16">
            <v>0</v>
          </cell>
          <cell r="E16">
            <v>149397</v>
          </cell>
          <cell r="F16">
            <v>0</v>
          </cell>
          <cell r="G16">
            <v>149397</v>
          </cell>
          <cell r="H16">
            <v>0</v>
          </cell>
          <cell r="I16">
            <v>0</v>
          </cell>
          <cell r="J16">
            <v>-149397</v>
          </cell>
        </row>
        <row r="17">
          <cell r="A17" t="str">
            <v>1-1-10-01-008  CAJA CHICA OFICINAS SANTIAGO</v>
          </cell>
          <cell r="B17">
            <v>1500000</v>
          </cell>
          <cell r="C17">
            <v>2017150</v>
          </cell>
          <cell r="D17">
            <v>0</v>
          </cell>
          <cell r="E17">
            <v>517150</v>
          </cell>
          <cell r="F17">
            <v>0</v>
          </cell>
          <cell r="G17">
            <v>517150</v>
          </cell>
          <cell r="H17">
            <v>0</v>
          </cell>
          <cell r="I17">
            <v>0</v>
          </cell>
          <cell r="J17">
            <v>-517150</v>
          </cell>
        </row>
        <row r="18">
          <cell r="A18" t="str">
            <v>1-1-10-02-002  BANCO SANTANDER 25996240</v>
          </cell>
          <cell r="B18">
            <v>2359078672</v>
          </cell>
          <cell r="C18">
            <v>2357578672</v>
          </cell>
          <cell r="D18">
            <v>1500000</v>
          </cell>
          <cell r="E18">
            <v>0</v>
          </cell>
          <cell r="F18">
            <v>1500000</v>
          </cell>
          <cell r="G18">
            <v>0</v>
          </cell>
          <cell r="H18">
            <v>0</v>
          </cell>
          <cell r="I18">
            <v>0</v>
          </cell>
          <cell r="J18">
            <v>1500000</v>
          </cell>
        </row>
        <row r="19">
          <cell r="A19" t="str">
            <v>1-1-10-02-004  BANCO CREDITO E INVERSIONES</v>
          </cell>
          <cell r="B19">
            <v>177152201</v>
          </cell>
          <cell r="C19">
            <v>177152201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1-1-10-02-005  BANCO ITAU</v>
          </cell>
          <cell r="B20">
            <v>398615865</v>
          </cell>
          <cell r="C20">
            <v>395460416</v>
          </cell>
          <cell r="D20">
            <v>3155449</v>
          </cell>
          <cell r="E20">
            <v>0</v>
          </cell>
          <cell r="F20">
            <v>3155449</v>
          </cell>
          <cell r="G20">
            <v>0</v>
          </cell>
          <cell r="H20">
            <v>0</v>
          </cell>
          <cell r="I20">
            <v>0</v>
          </cell>
          <cell r="J20">
            <v>3155449</v>
          </cell>
        </row>
        <row r="21">
          <cell r="A21" t="str">
            <v>1-1-10-02-006  BANCO INTERNACIONAL</v>
          </cell>
          <cell r="B21">
            <v>30505303</v>
          </cell>
          <cell r="C21">
            <v>29733901</v>
          </cell>
          <cell r="D21">
            <v>771402</v>
          </cell>
          <cell r="E21">
            <v>0</v>
          </cell>
          <cell r="F21">
            <v>771402</v>
          </cell>
          <cell r="G21">
            <v>0</v>
          </cell>
          <cell r="H21">
            <v>0</v>
          </cell>
          <cell r="I21">
            <v>0</v>
          </cell>
          <cell r="J21">
            <v>771402</v>
          </cell>
        </row>
        <row r="22">
          <cell r="A22" t="str">
            <v>1-1-10-02-007  BANCO BCI CHILE DOLARES</v>
          </cell>
          <cell r="B22">
            <v>42168251</v>
          </cell>
          <cell r="C22">
            <v>0</v>
          </cell>
          <cell r="D22">
            <v>42168251</v>
          </cell>
          <cell r="E22">
            <v>0</v>
          </cell>
          <cell r="F22">
            <v>42168251</v>
          </cell>
          <cell r="G22">
            <v>0</v>
          </cell>
          <cell r="H22">
            <v>0</v>
          </cell>
          <cell r="I22">
            <v>0</v>
          </cell>
          <cell r="J22">
            <v>42168251</v>
          </cell>
        </row>
        <row r="23">
          <cell r="A23" t="str">
            <v>1-1-20-01-003  ACCIONES CFINRENTAS BANCO SANTANDER</v>
          </cell>
          <cell r="B23">
            <v>0</v>
          </cell>
          <cell r="C23">
            <v>37296392</v>
          </cell>
          <cell r="D23">
            <v>0</v>
          </cell>
          <cell r="E23">
            <v>37296392</v>
          </cell>
          <cell r="F23">
            <v>0</v>
          </cell>
          <cell r="G23">
            <v>37296392</v>
          </cell>
          <cell r="H23">
            <v>0</v>
          </cell>
          <cell r="I23">
            <v>0</v>
          </cell>
          <cell r="J23">
            <v>-37296392</v>
          </cell>
        </row>
        <row r="24">
          <cell r="A24" t="str">
            <v>1-1-20-01-006  FONDOS MUTUOS BCI PESOS</v>
          </cell>
          <cell r="B24">
            <v>0</v>
          </cell>
          <cell r="C24">
            <v>2796975</v>
          </cell>
          <cell r="D24">
            <v>0</v>
          </cell>
          <cell r="E24">
            <v>2796975</v>
          </cell>
          <cell r="F24">
            <v>0</v>
          </cell>
          <cell r="G24">
            <v>2796975</v>
          </cell>
          <cell r="H24">
            <v>0</v>
          </cell>
          <cell r="I24">
            <v>0</v>
          </cell>
          <cell r="J24">
            <v>-2796975</v>
          </cell>
        </row>
        <row r="25">
          <cell r="A25" t="str">
            <v>1-1-20-04-004  INVERSIONES FI BTG PACTUAL RENTAS EN PESOS</v>
          </cell>
          <cell r="B25">
            <v>0</v>
          </cell>
          <cell r="C25">
            <v>427115251</v>
          </cell>
          <cell r="D25">
            <v>0</v>
          </cell>
          <cell r="E25">
            <v>427115251</v>
          </cell>
          <cell r="F25">
            <v>0</v>
          </cell>
          <cell r="G25">
            <v>427115251</v>
          </cell>
          <cell r="H25">
            <v>0</v>
          </cell>
          <cell r="I25">
            <v>0</v>
          </cell>
          <cell r="J25">
            <v>-427115251</v>
          </cell>
        </row>
        <row r="26">
          <cell r="A26" t="str">
            <v>1-1-20-04-005  INVERSIONES BTG FONDO MINING EN DOLARES</v>
          </cell>
          <cell r="B26">
            <v>95</v>
          </cell>
          <cell r="C26">
            <v>0</v>
          </cell>
          <cell r="D26">
            <v>95</v>
          </cell>
          <cell r="E26">
            <v>0</v>
          </cell>
          <cell r="F26">
            <v>95</v>
          </cell>
          <cell r="G26">
            <v>0</v>
          </cell>
          <cell r="H26">
            <v>0</v>
          </cell>
          <cell r="I26">
            <v>0</v>
          </cell>
          <cell r="J26">
            <v>95</v>
          </cell>
        </row>
        <row r="27">
          <cell r="A27" t="str">
            <v>1-1-20-04-006  BANCHILE CORREDORES DE BOLSA DOLARES</v>
          </cell>
          <cell r="B27">
            <v>31947</v>
          </cell>
          <cell r="C27">
            <v>0</v>
          </cell>
          <cell r="D27">
            <v>31947</v>
          </cell>
          <cell r="E27">
            <v>0</v>
          </cell>
          <cell r="F27">
            <v>31947</v>
          </cell>
          <cell r="G27">
            <v>0</v>
          </cell>
          <cell r="H27">
            <v>0</v>
          </cell>
          <cell r="I27">
            <v>0</v>
          </cell>
          <cell r="J27">
            <v>31947</v>
          </cell>
        </row>
        <row r="28">
          <cell r="A28" t="str">
            <v>1-1-20-04-009  ACCIONES BCI CORREDOR BOLSA</v>
          </cell>
          <cell r="B28">
            <v>0</v>
          </cell>
          <cell r="C28">
            <v>14980795</v>
          </cell>
          <cell r="D28">
            <v>0</v>
          </cell>
          <cell r="E28">
            <v>14980795</v>
          </cell>
          <cell r="F28">
            <v>0</v>
          </cell>
          <cell r="G28">
            <v>14980795</v>
          </cell>
          <cell r="H28">
            <v>0</v>
          </cell>
          <cell r="I28">
            <v>0</v>
          </cell>
          <cell r="J28">
            <v>-14980795</v>
          </cell>
        </row>
        <row r="29">
          <cell r="A29" t="str">
            <v>1-1-20-04-010  INVERSION  NEO-RENTAS ADM.</v>
          </cell>
          <cell r="B29">
            <v>0</v>
          </cell>
          <cell r="C29">
            <v>4028421</v>
          </cell>
          <cell r="D29">
            <v>0</v>
          </cell>
          <cell r="E29">
            <v>4028421</v>
          </cell>
          <cell r="F29">
            <v>0</v>
          </cell>
          <cell r="G29">
            <v>4028421</v>
          </cell>
          <cell r="H29">
            <v>0</v>
          </cell>
          <cell r="I29">
            <v>0</v>
          </cell>
          <cell r="J29">
            <v>-4028421</v>
          </cell>
        </row>
        <row r="30">
          <cell r="A30" t="str">
            <v>1-1-20-04-013  FONDO MUTUO BTG MONEY MARKET PESOS</v>
          </cell>
          <cell r="B30">
            <v>61</v>
          </cell>
          <cell r="C30">
            <v>0</v>
          </cell>
          <cell r="D30">
            <v>61</v>
          </cell>
          <cell r="E30">
            <v>0</v>
          </cell>
          <cell r="F30">
            <v>61</v>
          </cell>
          <cell r="G30">
            <v>0</v>
          </cell>
          <cell r="H30">
            <v>0</v>
          </cell>
          <cell r="I30">
            <v>0</v>
          </cell>
          <cell r="J30">
            <v>61</v>
          </cell>
        </row>
        <row r="31">
          <cell r="A31" t="str">
            <v>1-1-30-01-004  POVISION INGRESOS</v>
          </cell>
          <cell r="B31">
            <v>192648467</v>
          </cell>
          <cell r="C31">
            <v>208830260</v>
          </cell>
          <cell r="D31">
            <v>0</v>
          </cell>
          <cell r="E31">
            <v>16181793</v>
          </cell>
          <cell r="F31">
            <v>0</v>
          </cell>
          <cell r="G31">
            <v>16181793</v>
          </cell>
          <cell r="H31">
            <v>0</v>
          </cell>
          <cell r="I31">
            <v>0</v>
          </cell>
          <cell r="J31">
            <v>-16181793</v>
          </cell>
        </row>
        <row r="32">
          <cell r="A32" t="str">
            <v>1-1-30-01-005  CLIENTES 2</v>
          </cell>
          <cell r="B32">
            <v>1449170975</v>
          </cell>
          <cell r="C32">
            <v>1470049180</v>
          </cell>
          <cell r="D32">
            <v>0</v>
          </cell>
          <cell r="E32">
            <v>20878205</v>
          </cell>
          <cell r="F32">
            <v>0</v>
          </cell>
          <cell r="G32">
            <v>20878205</v>
          </cell>
          <cell r="H32">
            <v>0</v>
          </cell>
          <cell r="I32">
            <v>0</v>
          </cell>
          <cell r="J32">
            <v>-20878205</v>
          </cell>
        </row>
        <row r="33">
          <cell r="A33" t="str">
            <v>1-1-30-01-008  CHEQUE EN CARTERAS (PLAN DE PAGO CLIENTES)</v>
          </cell>
          <cell r="B33">
            <v>3739470</v>
          </cell>
          <cell r="C33">
            <v>4478086</v>
          </cell>
          <cell r="D33">
            <v>0</v>
          </cell>
          <cell r="E33">
            <v>738616</v>
          </cell>
          <cell r="F33">
            <v>0</v>
          </cell>
          <cell r="G33">
            <v>738616</v>
          </cell>
          <cell r="H33">
            <v>0</v>
          </cell>
          <cell r="I33">
            <v>0</v>
          </cell>
          <cell r="J33">
            <v>-738616</v>
          </cell>
        </row>
        <row r="34">
          <cell r="A34" t="str">
            <v>1-1-30-02-005  DOCUMENTOS POR COBRAR</v>
          </cell>
          <cell r="B34">
            <v>25505201</v>
          </cell>
          <cell r="C34">
            <v>0</v>
          </cell>
          <cell r="D34">
            <v>25505201</v>
          </cell>
          <cell r="E34">
            <v>0</v>
          </cell>
          <cell r="F34">
            <v>25505201</v>
          </cell>
          <cell r="G34">
            <v>0</v>
          </cell>
          <cell r="H34">
            <v>0</v>
          </cell>
          <cell r="I34">
            <v>0</v>
          </cell>
          <cell r="J34">
            <v>25505201</v>
          </cell>
        </row>
        <row r="35">
          <cell r="A35" t="str">
            <v>1-1-40-01-010  CTA X COBRAR INV.PRIME CAPITAL INTERNACIONAL (EX SEGOVIA SA)</v>
          </cell>
          <cell r="B35">
            <v>0</v>
          </cell>
          <cell r="C35">
            <v>17878790</v>
          </cell>
          <cell r="D35">
            <v>0</v>
          </cell>
          <cell r="E35">
            <v>17878790</v>
          </cell>
          <cell r="F35">
            <v>0</v>
          </cell>
          <cell r="G35">
            <v>17878790</v>
          </cell>
          <cell r="H35">
            <v>0</v>
          </cell>
          <cell r="I35">
            <v>0</v>
          </cell>
          <cell r="J35">
            <v>-17878790</v>
          </cell>
        </row>
        <row r="36">
          <cell r="A36" t="str">
            <v>1-1-40-01-011  PRESTAMO INVERSIONES GRAN DESIERTO</v>
          </cell>
          <cell r="B36">
            <v>965816</v>
          </cell>
          <cell r="C36">
            <v>483886</v>
          </cell>
          <cell r="D36">
            <v>481930</v>
          </cell>
          <cell r="E36">
            <v>0</v>
          </cell>
          <cell r="F36">
            <v>481930</v>
          </cell>
          <cell r="G36">
            <v>0</v>
          </cell>
          <cell r="H36">
            <v>0</v>
          </cell>
          <cell r="I36">
            <v>0</v>
          </cell>
          <cell r="J36">
            <v>481930</v>
          </cell>
        </row>
        <row r="37">
          <cell r="A37" t="str">
            <v>1-1-40-01-012  MUTUOS POR COBRAR</v>
          </cell>
          <cell r="B37">
            <v>317729</v>
          </cell>
          <cell r="C37">
            <v>0</v>
          </cell>
          <cell r="D37">
            <v>317729</v>
          </cell>
          <cell r="E37">
            <v>0</v>
          </cell>
          <cell r="F37">
            <v>317729</v>
          </cell>
          <cell r="G37">
            <v>0</v>
          </cell>
          <cell r="H37">
            <v>0</v>
          </cell>
          <cell r="I37">
            <v>0</v>
          </cell>
          <cell r="J37">
            <v>317729</v>
          </cell>
        </row>
        <row r="38">
          <cell r="A38" t="str">
            <v>1-1-40-01-014  CTA X COBRAR ISF DOLAR</v>
          </cell>
          <cell r="B38">
            <v>117443211</v>
          </cell>
          <cell r="C38">
            <v>0</v>
          </cell>
          <cell r="D38">
            <v>117443211</v>
          </cell>
          <cell r="E38">
            <v>0</v>
          </cell>
          <cell r="F38">
            <v>117443211</v>
          </cell>
          <cell r="G38">
            <v>0</v>
          </cell>
          <cell r="H38">
            <v>0</v>
          </cell>
          <cell r="I38">
            <v>0</v>
          </cell>
          <cell r="J38">
            <v>117443211</v>
          </cell>
        </row>
        <row r="39">
          <cell r="A39" t="str">
            <v>1-1-40-01-015  CTA POR COBRAR ISF FLORIDA HOLDINGS MIAMI</v>
          </cell>
          <cell r="B39">
            <v>4233000</v>
          </cell>
          <cell r="C39">
            <v>0</v>
          </cell>
          <cell r="D39">
            <v>4233000</v>
          </cell>
          <cell r="E39">
            <v>0</v>
          </cell>
          <cell r="F39">
            <v>4233000</v>
          </cell>
          <cell r="G39">
            <v>0</v>
          </cell>
          <cell r="H39">
            <v>0</v>
          </cell>
          <cell r="I39">
            <v>0</v>
          </cell>
          <cell r="J39">
            <v>4233000</v>
          </cell>
        </row>
        <row r="40">
          <cell r="A40" t="str">
            <v>1-1-40-01-017  ANTICIPO PROVEEDOR 3</v>
          </cell>
          <cell r="B40">
            <v>76700969</v>
          </cell>
          <cell r="C40">
            <v>84924926</v>
          </cell>
          <cell r="D40">
            <v>0</v>
          </cell>
          <cell r="E40">
            <v>8223957</v>
          </cell>
          <cell r="F40">
            <v>0</v>
          </cell>
          <cell r="G40">
            <v>8223957</v>
          </cell>
          <cell r="H40">
            <v>0</v>
          </cell>
          <cell r="I40">
            <v>0</v>
          </cell>
          <cell r="J40">
            <v>-8223957</v>
          </cell>
        </row>
        <row r="41">
          <cell r="A41" t="str">
            <v>1-1-40-01-019  CTA X COBRAR ERIC WAGHORN VITAR</v>
          </cell>
          <cell r="B41">
            <v>178065108</v>
          </cell>
          <cell r="C41">
            <v>0</v>
          </cell>
          <cell r="D41">
            <v>178065108</v>
          </cell>
          <cell r="E41">
            <v>0</v>
          </cell>
          <cell r="F41">
            <v>178065108</v>
          </cell>
          <cell r="G41">
            <v>0</v>
          </cell>
          <cell r="H41">
            <v>0</v>
          </cell>
          <cell r="I41">
            <v>0</v>
          </cell>
          <cell r="J41">
            <v>178065108</v>
          </cell>
        </row>
        <row r="42">
          <cell r="A42" t="str">
            <v>1-1-40-01-020  ANTICIPO SUELDO (2)</v>
          </cell>
          <cell r="B42">
            <v>6900000</v>
          </cell>
          <cell r="C42">
            <v>6900000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A43" t="str">
            <v>1-1-50-01-005  PAGARE POR COBRAR DOLE</v>
          </cell>
          <cell r="B43">
            <v>0</v>
          </cell>
          <cell r="C43">
            <v>5326306</v>
          </cell>
          <cell r="D43">
            <v>0</v>
          </cell>
          <cell r="E43">
            <v>5326306</v>
          </cell>
          <cell r="F43">
            <v>0</v>
          </cell>
          <cell r="G43">
            <v>5326306</v>
          </cell>
          <cell r="H43">
            <v>0</v>
          </cell>
          <cell r="I43">
            <v>0</v>
          </cell>
          <cell r="J43">
            <v>-5326306</v>
          </cell>
        </row>
        <row r="44">
          <cell r="A44" t="str">
            <v>1-1-50-01-006  CTA, POR COBRAR DINAMITY</v>
          </cell>
          <cell r="B44">
            <v>10097745</v>
          </cell>
          <cell r="C44">
            <v>43380</v>
          </cell>
          <cell r="D44">
            <v>10054365</v>
          </cell>
          <cell r="E44">
            <v>0</v>
          </cell>
          <cell r="F44">
            <v>10054365</v>
          </cell>
          <cell r="G44">
            <v>0</v>
          </cell>
          <cell r="H44">
            <v>0</v>
          </cell>
          <cell r="I44">
            <v>0</v>
          </cell>
          <cell r="J44">
            <v>10054365</v>
          </cell>
        </row>
        <row r="45">
          <cell r="A45" t="str">
            <v>1-1-50-01-007  PAGARES POR COBRAR INMOBILIARIA CUATRO</v>
          </cell>
          <cell r="B45">
            <v>0</v>
          </cell>
          <cell r="C45">
            <v>3831858</v>
          </cell>
          <cell r="D45">
            <v>0</v>
          </cell>
          <cell r="E45">
            <v>3831858</v>
          </cell>
          <cell r="F45">
            <v>0</v>
          </cell>
          <cell r="G45">
            <v>3831858</v>
          </cell>
          <cell r="H45">
            <v>0</v>
          </cell>
          <cell r="I45">
            <v>0</v>
          </cell>
          <cell r="J45">
            <v>-3831858</v>
          </cell>
        </row>
        <row r="46">
          <cell r="A46" t="str">
            <v>1-1-50-01-008  CUENTA POR COBRAR INMOB VALDEPEÑAS SPA</v>
          </cell>
          <cell r="B46">
            <v>2734761</v>
          </cell>
          <cell r="C46">
            <v>3672329</v>
          </cell>
          <cell r="D46">
            <v>0</v>
          </cell>
          <cell r="E46">
            <v>937568</v>
          </cell>
          <cell r="F46">
            <v>0</v>
          </cell>
          <cell r="G46">
            <v>937568</v>
          </cell>
          <cell r="H46">
            <v>0</v>
          </cell>
          <cell r="I46">
            <v>0</v>
          </cell>
          <cell r="J46">
            <v>-937568</v>
          </cell>
        </row>
        <row r="47">
          <cell r="A47" t="str">
            <v>1-1-50-01-009  CUENTA POR COBRAR INMOB LIRCAY SPA</v>
          </cell>
          <cell r="B47">
            <v>1882777</v>
          </cell>
          <cell r="C47">
            <v>1411947</v>
          </cell>
          <cell r="D47">
            <v>470830</v>
          </cell>
          <cell r="E47">
            <v>0</v>
          </cell>
          <cell r="F47">
            <v>470830</v>
          </cell>
          <cell r="G47">
            <v>0</v>
          </cell>
          <cell r="H47">
            <v>0</v>
          </cell>
          <cell r="I47">
            <v>0</v>
          </cell>
          <cell r="J47">
            <v>470830</v>
          </cell>
        </row>
        <row r="48">
          <cell r="A48" t="str">
            <v>1-1-60-01-001  INT. DIF. LEASING VALPO- C/P</v>
          </cell>
          <cell r="B48">
            <v>0</v>
          </cell>
          <cell r="C48">
            <v>380430</v>
          </cell>
          <cell r="D48">
            <v>0</v>
          </cell>
          <cell r="E48">
            <v>380430</v>
          </cell>
          <cell r="F48">
            <v>0</v>
          </cell>
          <cell r="G48">
            <v>380430</v>
          </cell>
          <cell r="H48">
            <v>0</v>
          </cell>
          <cell r="I48">
            <v>0</v>
          </cell>
          <cell r="J48">
            <v>-380430</v>
          </cell>
        </row>
        <row r="49">
          <cell r="A49" t="str">
            <v>1-1-60-01-002  INT. DIF. LEASING CAUQUENES C/P</v>
          </cell>
          <cell r="B49">
            <v>0</v>
          </cell>
          <cell r="C49">
            <v>299083</v>
          </cell>
          <cell r="D49">
            <v>0</v>
          </cell>
          <cell r="E49">
            <v>299083</v>
          </cell>
          <cell r="F49">
            <v>0</v>
          </cell>
          <cell r="G49">
            <v>299083</v>
          </cell>
          <cell r="H49">
            <v>0</v>
          </cell>
          <cell r="I49">
            <v>0</v>
          </cell>
          <cell r="J49">
            <v>-299083</v>
          </cell>
        </row>
        <row r="50">
          <cell r="A50" t="str">
            <v>1-1-60-01-003  INTERES DIF.LEASING-OUTLET C/P</v>
          </cell>
          <cell r="B50">
            <v>0</v>
          </cell>
          <cell r="C50">
            <v>3517551</v>
          </cell>
          <cell r="D50">
            <v>0</v>
          </cell>
          <cell r="E50">
            <v>3517551</v>
          </cell>
          <cell r="F50">
            <v>0</v>
          </cell>
          <cell r="G50">
            <v>3517551</v>
          </cell>
          <cell r="H50">
            <v>0</v>
          </cell>
          <cell r="I50">
            <v>0</v>
          </cell>
          <cell r="J50">
            <v>-3517551</v>
          </cell>
        </row>
        <row r="51">
          <cell r="A51" t="str">
            <v>1-1-60-01-011  INT.DIF.LEASING VALPO L/P</v>
          </cell>
          <cell r="B51">
            <v>0</v>
          </cell>
          <cell r="C51">
            <v>2482146</v>
          </cell>
          <cell r="D51">
            <v>0</v>
          </cell>
          <cell r="E51">
            <v>2482146</v>
          </cell>
          <cell r="F51">
            <v>0</v>
          </cell>
          <cell r="G51">
            <v>2482146</v>
          </cell>
          <cell r="H51">
            <v>0</v>
          </cell>
          <cell r="I51">
            <v>0</v>
          </cell>
          <cell r="J51">
            <v>-2482146</v>
          </cell>
        </row>
        <row r="52">
          <cell r="A52" t="str">
            <v>1-1-60-01-012  INT.DIF.LEASING CAUQUENES L/P</v>
          </cell>
          <cell r="B52">
            <v>0</v>
          </cell>
          <cell r="C52">
            <v>1991043</v>
          </cell>
          <cell r="D52">
            <v>0</v>
          </cell>
          <cell r="E52">
            <v>1991043</v>
          </cell>
          <cell r="F52">
            <v>0</v>
          </cell>
          <cell r="G52">
            <v>1991043</v>
          </cell>
          <cell r="H52">
            <v>0</v>
          </cell>
          <cell r="I52">
            <v>0</v>
          </cell>
          <cell r="J52">
            <v>-1991043</v>
          </cell>
        </row>
        <row r="53">
          <cell r="A53" t="str">
            <v>1-1-60-01-013  INTERES DIF. LEASING OUTLET-L/P</v>
          </cell>
          <cell r="B53">
            <v>0</v>
          </cell>
          <cell r="C53">
            <v>54170881</v>
          </cell>
          <cell r="D53">
            <v>0</v>
          </cell>
          <cell r="E53">
            <v>54170881</v>
          </cell>
          <cell r="F53">
            <v>0</v>
          </cell>
          <cell r="G53">
            <v>54170881</v>
          </cell>
          <cell r="H53">
            <v>0</v>
          </cell>
          <cell r="I53">
            <v>0</v>
          </cell>
          <cell r="J53">
            <v>-54170881</v>
          </cell>
        </row>
        <row r="54">
          <cell r="A54" t="str">
            <v>1-1-60-01-014  INTERESES DIF VEHICULOS LEASING CP</v>
          </cell>
          <cell r="B54">
            <v>0</v>
          </cell>
          <cell r="C54">
            <v>814120</v>
          </cell>
          <cell r="D54">
            <v>0</v>
          </cell>
          <cell r="E54">
            <v>814120</v>
          </cell>
          <cell r="F54">
            <v>0</v>
          </cell>
          <cell r="G54">
            <v>814120</v>
          </cell>
          <cell r="H54">
            <v>0</v>
          </cell>
          <cell r="I54">
            <v>0</v>
          </cell>
          <cell r="J54">
            <v>-814120</v>
          </cell>
        </row>
        <row r="55">
          <cell r="A55" t="str">
            <v>1-1-60-01-015  INTERESES DIF VEHICULOS LEASING LP</v>
          </cell>
          <cell r="B55">
            <v>0</v>
          </cell>
          <cell r="C55">
            <v>118300</v>
          </cell>
          <cell r="D55">
            <v>0</v>
          </cell>
          <cell r="E55">
            <v>118300</v>
          </cell>
          <cell r="F55">
            <v>0</v>
          </cell>
          <cell r="G55">
            <v>118300</v>
          </cell>
          <cell r="H55">
            <v>0</v>
          </cell>
          <cell r="I55">
            <v>0</v>
          </cell>
          <cell r="J55">
            <v>-118300</v>
          </cell>
        </row>
        <row r="56">
          <cell r="A56" t="str">
            <v>1-1-60-01-016  INTER DIF  HIPOTECARIO LOS MORROS CP</v>
          </cell>
          <cell r="B56">
            <v>0</v>
          </cell>
          <cell r="C56">
            <v>1238780</v>
          </cell>
          <cell r="D56">
            <v>0</v>
          </cell>
          <cell r="E56">
            <v>1238780</v>
          </cell>
          <cell r="F56">
            <v>0</v>
          </cell>
          <cell r="G56">
            <v>1238780</v>
          </cell>
          <cell r="H56">
            <v>0</v>
          </cell>
          <cell r="I56">
            <v>0</v>
          </cell>
          <cell r="J56">
            <v>-1238780</v>
          </cell>
        </row>
        <row r="57">
          <cell r="A57" t="str">
            <v>1-1-60-01-017  INTER DIF HIPOTECARIO LOS MORROS LP</v>
          </cell>
          <cell r="B57">
            <v>0</v>
          </cell>
          <cell r="C57">
            <v>17046122</v>
          </cell>
          <cell r="D57">
            <v>0</v>
          </cell>
          <cell r="E57">
            <v>17046122</v>
          </cell>
          <cell r="F57">
            <v>0</v>
          </cell>
          <cell r="G57">
            <v>17046122</v>
          </cell>
          <cell r="H57">
            <v>0</v>
          </cell>
          <cell r="I57">
            <v>0</v>
          </cell>
          <cell r="J57">
            <v>-17046122</v>
          </cell>
        </row>
        <row r="58">
          <cell r="A58" t="str">
            <v>1-1-60-01-018  INTERESES DIF INTERNACIONAL CP M$600</v>
          </cell>
          <cell r="B58">
            <v>0</v>
          </cell>
          <cell r="C58">
            <v>1872482</v>
          </cell>
          <cell r="D58">
            <v>0</v>
          </cell>
          <cell r="E58">
            <v>1872482</v>
          </cell>
          <cell r="F58">
            <v>0</v>
          </cell>
          <cell r="G58">
            <v>1872482</v>
          </cell>
          <cell r="H58">
            <v>0</v>
          </cell>
          <cell r="I58">
            <v>0</v>
          </cell>
          <cell r="J58">
            <v>-1872482</v>
          </cell>
        </row>
        <row r="59">
          <cell r="A59" t="str">
            <v>1-1-60-01-019  INTERESES DIF INTERNACIONAL LP M$600</v>
          </cell>
          <cell r="B59">
            <v>0</v>
          </cell>
          <cell r="C59">
            <v>821770</v>
          </cell>
          <cell r="D59">
            <v>0</v>
          </cell>
          <cell r="E59">
            <v>821770</v>
          </cell>
          <cell r="F59">
            <v>0</v>
          </cell>
          <cell r="G59">
            <v>821770</v>
          </cell>
          <cell r="H59">
            <v>0</v>
          </cell>
          <cell r="I59">
            <v>0</v>
          </cell>
          <cell r="J59">
            <v>-821770</v>
          </cell>
        </row>
        <row r="60">
          <cell r="A60" t="str">
            <v>1-1-70-01-001  IVA CREDITO FISCAL</v>
          </cell>
          <cell r="B60">
            <v>112388156</v>
          </cell>
          <cell r="C60">
            <v>112388156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1-1-70-01-010  INTER. DIF. LEASING 1 SUR 1990 CP</v>
          </cell>
          <cell r="B61">
            <v>0</v>
          </cell>
          <cell r="C61">
            <v>257447</v>
          </cell>
          <cell r="D61">
            <v>0</v>
          </cell>
          <cell r="E61">
            <v>257447</v>
          </cell>
          <cell r="F61">
            <v>0</v>
          </cell>
          <cell r="G61">
            <v>257447</v>
          </cell>
          <cell r="H61">
            <v>0</v>
          </cell>
          <cell r="I61">
            <v>0</v>
          </cell>
          <cell r="J61">
            <v>-257447</v>
          </cell>
        </row>
        <row r="62">
          <cell r="A62" t="str">
            <v>1-1-70-01-011  INTER. DIF. LEASING SAN JAVIER CP</v>
          </cell>
          <cell r="B62">
            <v>0</v>
          </cell>
          <cell r="C62">
            <v>221361</v>
          </cell>
          <cell r="D62">
            <v>0</v>
          </cell>
          <cell r="E62">
            <v>221361</v>
          </cell>
          <cell r="F62">
            <v>0</v>
          </cell>
          <cell r="G62">
            <v>221361</v>
          </cell>
          <cell r="H62">
            <v>0</v>
          </cell>
          <cell r="I62">
            <v>0</v>
          </cell>
          <cell r="J62">
            <v>-221361</v>
          </cell>
        </row>
        <row r="63">
          <cell r="A63" t="str">
            <v>1-1-70-01-012  INTER. DIF. LEASING COLIN 0240 CP</v>
          </cell>
          <cell r="B63">
            <v>0</v>
          </cell>
          <cell r="C63">
            <v>416633</v>
          </cell>
          <cell r="D63">
            <v>0</v>
          </cell>
          <cell r="E63">
            <v>416633</v>
          </cell>
          <cell r="F63">
            <v>0</v>
          </cell>
          <cell r="G63">
            <v>416633</v>
          </cell>
          <cell r="H63">
            <v>0</v>
          </cell>
          <cell r="I63">
            <v>0</v>
          </cell>
          <cell r="J63">
            <v>-416633</v>
          </cell>
        </row>
        <row r="64">
          <cell r="A64" t="str">
            <v>1-1-70-01-013  INTER. DIF. LEASING C. SATELITE CP</v>
          </cell>
          <cell r="B64">
            <v>0</v>
          </cell>
          <cell r="C64">
            <v>612524</v>
          </cell>
          <cell r="D64">
            <v>0</v>
          </cell>
          <cell r="E64">
            <v>612524</v>
          </cell>
          <cell r="F64">
            <v>0</v>
          </cell>
          <cell r="G64">
            <v>612524</v>
          </cell>
          <cell r="H64">
            <v>0</v>
          </cell>
          <cell r="I64">
            <v>0</v>
          </cell>
          <cell r="J64">
            <v>-612524</v>
          </cell>
        </row>
        <row r="65">
          <cell r="A65" t="str">
            <v>1-1-70-01-014  INTER. DIF. LEASING 11 ORIENTE CP</v>
          </cell>
          <cell r="B65">
            <v>0</v>
          </cell>
          <cell r="C65">
            <v>537735</v>
          </cell>
          <cell r="D65">
            <v>0</v>
          </cell>
          <cell r="E65">
            <v>537735</v>
          </cell>
          <cell r="F65">
            <v>0</v>
          </cell>
          <cell r="G65">
            <v>537735</v>
          </cell>
          <cell r="H65">
            <v>0</v>
          </cell>
          <cell r="I65">
            <v>0</v>
          </cell>
          <cell r="J65">
            <v>-537735</v>
          </cell>
        </row>
        <row r="66">
          <cell r="A66" t="str">
            <v>1-1-70-01-015  INTER. DIF. LEASING MAIPU 556 CP</v>
          </cell>
          <cell r="B66">
            <v>0</v>
          </cell>
          <cell r="C66">
            <v>475913</v>
          </cell>
          <cell r="D66">
            <v>0</v>
          </cell>
          <cell r="E66">
            <v>475913</v>
          </cell>
          <cell r="F66">
            <v>0</v>
          </cell>
          <cell r="G66">
            <v>475913</v>
          </cell>
          <cell r="H66">
            <v>0</v>
          </cell>
          <cell r="I66">
            <v>0</v>
          </cell>
          <cell r="J66">
            <v>-475913</v>
          </cell>
        </row>
        <row r="67">
          <cell r="A67" t="str">
            <v>1-1-70-01-016  INTER. DIF. LEASING BRASIL 648 CP</v>
          </cell>
          <cell r="B67">
            <v>0</v>
          </cell>
          <cell r="C67">
            <v>364867</v>
          </cell>
          <cell r="D67">
            <v>0</v>
          </cell>
          <cell r="E67">
            <v>364867</v>
          </cell>
          <cell r="F67">
            <v>0</v>
          </cell>
          <cell r="G67">
            <v>364867</v>
          </cell>
          <cell r="H67">
            <v>0</v>
          </cell>
          <cell r="I67">
            <v>0</v>
          </cell>
          <cell r="J67">
            <v>-364867</v>
          </cell>
        </row>
        <row r="68">
          <cell r="A68" t="str">
            <v>1-1-70-01-017  INTER. DIF. LEASING VIAL 224 CP</v>
          </cell>
          <cell r="B68">
            <v>0</v>
          </cell>
          <cell r="C68">
            <v>436253</v>
          </cell>
          <cell r="D68">
            <v>0</v>
          </cell>
          <cell r="E68">
            <v>436253</v>
          </cell>
          <cell r="F68">
            <v>0</v>
          </cell>
          <cell r="G68">
            <v>436253</v>
          </cell>
          <cell r="H68">
            <v>0</v>
          </cell>
          <cell r="I68">
            <v>0</v>
          </cell>
          <cell r="J68">
            <v>-436253</v>
          </cell>
        </row>
        <row r="69">
          <cell r="A69" t="str">
            <v>1-1-70-01-018  INTER. DIF. LEASING TALCA COLIN CP</v>
          </cell>
          <cell r="B69">
            <v>0</v>
          </cell>
          <cell r="C69">
            <v>3801874</v>
          </cell>
          <cell r="D69">
            <v>0</v>
          </cell>
          <cell r="E69">
            <v>3801874</v>
          </cell>
          <cell r="F69">
            <v>0</v>
          </cell>
          <cell r="G69">
            <v>3801874</v>
          </cell>
          <cell r="H69">
            <v>0</v>
          </cell>
          <cell r="I69">
            <v>0</v>
          </cell>
          <cell r="J69">
            <v>-3801874</v>
          </cell>
        </row>
        <row r="70">
          <cell r="A70" t="str">
            <v>1-1-70-01-019  INTER. DIF. HIPOTECARIO CP</v>
          </cell>
          <cell r="B70">
            <v>0</v>
          </cell>
          <cell r="C70">
            <v>863750</v>
          </cell>
          <cell r="D70">
            <v>0</v>
          </cell>
          <cell r="E70">
            <v>863750</v>
          </cell>
          <cell r="F70">
            <v>0</v>
          </cell>
          <cell r="G70">
            <v>863750</v>
          </cell>
          <cell r="H70">
            <v>0</v>
          </cell>
          <cell r="I70">
            <v>0</v>
          </cell>
          <cell r="J70">
            <v>-863750</v>
          </cell>
        </row>
        <row r="71">
          <cell r="A71" t="str">
            <v>1-1-70-01-020  REMANENTE CR FISCAL</v>
          </cell>
          <cell r="B71">
            <v>0</v>
          </cell>
          <cell r="C71">
            <v>65585742</v>
          </cell>
          <cell r="D71">
            <v>0</v>
          </cell>
          <cell r="E71">
            <v>65585742</v>
          </cell>
          <cell r="F71">
            <v>0</v>
          </cell>
          <cell r="G71">
            <v>65585742</v>
          </cell>
          <cell r="H71">
            <v>0</v>
          </cell>
          <cell r="I71">
            <v>0</v>
          </cell>
          <cell r="J71">
            <v>-65585742</v>
          </cell>
        </row>
        <row r="72">
          <cell r="A72" t="str">
            <v>1-1-70-01-025  INTER. DIF. LEASING 11 ORIENTE LP</v>
          </cell>
          <cell r="B72">
            <v>0</v>
          </cell>
          <cell r="C72">
            <v>268184</v>
          </cell>
          <cell r="D72">
            <v>0</v>
          </cell>
          <cell r="E72">
            <v>268184</v>
          </cell>
          <cell r="F72">
            <v>0</v>
          </cell>
          <cell r="G72">
            <v>268184</v>
          </cell>
          <cell r="H72">
            <v>0</v>
          </cell>
          <cell r="I72">
            <v>0</v>
          </cell>
          <cell r="J72">
            <v>-268184</v>
          </cell>
        </row>
        <row r="73">
          <cell r="A73" t="str">
            <v>1-1-70-01-026  INTER. DIF. LEASING MAIPU 556 LP</v>
          </cell>
          <cell r="B73">
            <v>0</v>
          </cell>
          <cell r="C73">
            <v>237351</v>
          </cell>
          <cell r="D73">
            <v>0</v>
          </cell>
          <cell r="E73">
            <v>237351</v>
          </cell>
          <cell r="F73">
            <v>0</v>
          </cell>
          <cell r="G73">
            <v>237351</v>
          </cell>
          <cell r="H73">
            <v>0</v>
          </cell>
          <cell r="I73">
            <v>0</v>
          </cell>
          <cell r="J73">
            <v>-237351</v>
          </cell>
        </row>
        <row r="74">
          <cell r="A74" t="str">
            <v>1-1-70-01-027  INTER. DIF. LEASING BRASIL 648 LP</v>
          </cell>
          <cell r="B74">
            <v>0</v>
          </cell>
          <cell r="C74">
            <v>181969</v>
          </cell>
          <cell r="D74">
            <v>0</v>
          </cell>
          <cell r="E74">
            <v>181969</v>
          </cell>
          <cell r="F74">
            <v>0</v>
          </cell>
          <cell r="G74">
            <v>181969</v>
          </cell>
          <cell r="H74">
            <v>0</v>
          </cell>
          <cell r="I74">
            <v>0</v>
          </cell>
          <cell r="J74">
            <v>-181969</v>
          </cell>
        </row>
        <row r="75">
          <cell r="A75" t="str">
            <v>1-1-70-01-028  INTER. DIF. LEASING VIAL 224 LP</v>
          </cell>
          <cell r="B75">
            <v>0</v>
          </cell>
          <cell r="C75">
            <v>217572</v>
          </cell>
          <cell r="D75">
            <v>0</v>
          </cell>
          <cell r="E75">
            <v>217572</v>
          </cell>
          <cell r="F75">
            <v>0</v>
          </cell>
          <cell r="G75">
            <v>217572</v>
          </cell>
          <cell r="H75">
            <v>0</v>
          </cell>
          <cell r="I75">
            <v>0</v>
          </cell>
          <cell r="J75">
            <v>-217572</v>
          </cell>
        </row>
        <row r="76">
          <cell r="A76" t="str">
            <v>1-1-70-01-029  INTER. DIF. LEASING TALCA COLIN LP</v>
          </cell>
          <cell r="B76">
            <v>0</v>
          </cell>
          <cell r="C76">
            <v>5943788</v>
          </cell>
          <cell r="D76">
            <v>0</v>
          </cell>
          <cell r="E76">
            <v>5943788</v>
          </cell>
          <cell r="F76">
            <v>0</v>
          </cell>
          <cell r="G76">
            <v>5943788</v>
          </cell>
          <cell r="H76">
            <v>0</v>
          </cell>
          <cell r="I76">
            <v>0</v>
          </cell>
          <cell r="J76">
            <v>-5943788</v>
          </cell>
        </row>
        <row r="77">
          <cell r="A77" t="str">
            <v>1-2-01-08-010  DEPREC. ACUM.  ACTIVOS EN LEASING</v>
          </cell>
          <cell r="B77">
            <v>367051112</v>
          </cell>
          <cell r="C77">
            <v>428226299</v>
          </cell>
          <cell r="D77">
            <v>0</v>
          </cell>
          <cell r="E77">
            <v>61175187</v>
          </cell>
          <cell r="F77">
            <v>0</v>
          </cell>
          <cell r="G77">
            <v>61175187</v>
          </cell>
          <cell r="H77">
            <v>0</v>
          </cell>
          <cell r="I77">
            <v>0</v>
          </cell>
          <cell r="J77">
            <v>-61175187</v>
          </cell>
        </row>
        <row r="78">
          <cell r="A78" t="str">
            <v>1-2-01-19-001  PROYECTO EL ALMENDRO TALCA</v>
          </cell>
          <cell r="B78">
            <v>816000</v>
          </cell>
          <cell r="C78">
            <v>0</v>
          </cell>
          <cell r="D78">
            <v>816000</v>
          </cell>
          <cell r="E78">
            <v>0</v>
          </cell>
          <cell r="F78">
            <v>816000</v>
          </cell>
          <cell r="G78">
            <v>0</v>
          </cell>
          <cell r="H78">
            <v>0</v>
          </cell>
          <cell r="I78">
            <v>0</v>
          </cell>
          <cell r="J78">
            <v>816000</v>
          </cell>
        </row>
        <row r="79">
          <cell r="A79" t="str">
            <v>1-2-02-01-001  DEP. ACUM. MUEBLES Y UTILES</v>
          </cell>
          <cell r="B79">
            <v>2754900</v>
          </cell>
          <cell r="C79">
            <v>3183342</v>
          </cell>
          <cell r="D79">
            <v>0</v>
          </cell>
          <cell r="E79">
            <v>428442</v>
          </cell>
          <cell r="F79">
            <v>0</v>
          </cell>
          <cell r="G79">
            <v>428442</v>
          </cell>
          <cell r="H79">
            <v>0</v>
          </cell>
          <cell r="I79">
            <v>0</v>
          </cell>
          <cell r="J79">
            <v>-428442</v>
          </cell>
        </row>
        <row r="80">
          <cell r="A80" t="str">
            <v>1-2-02-02-001  DEP.ACUM. INSTALACIONES</v>
          </cell>
          <cell r="B80">
            <v>84053</v>
          </cell>
          <cell r="C80">
            <v>98062</v>
          </cell>
          <cell r="D80">
            <v>0</v>
          </cell>
          <cell r="E80">
            <v>14009</v>
          </cell>
          <cell r="F80">
            <v>0</v>
          </cell>
          <cell r="G80">
            <v>14009</v>
          </cell>
          <cell r="H80">
            <v>0</v>
          </cell>
          <cell r="I80">
            <v>0</v>
          </cell>
          <cell r="J80">
            <v>-14009</v>
          </cell>
        </row>
        <row r="81">
          <cell r="A81" t="str">
            <v>1-2-02-05-001  DEP. ACUM. CONSTRUCCION PARRAL</v>
          </cell>
          <cell r="B81">
            <v>2343349</v>
          </cell>
          <cell r="C81">
            <v>2733907</v>
          </cell>
          <cell r="D81">
            <v>0</v>
          </cell>
          <cell r="E81">
            <v>390558</v>
          </cell>
          <cell r="F81">
            <v>0</v>
          </cell>
          <cell r="G81">
            <v>390558</v>
          </cell>
          <cell r="H81">
            <v>0</v>
          </cell>
          <cell r="I81">
            <v>0</v>
          </cell>
          <cell r="J81">
            <v>-390558</v>
          </cell>
        </row>
        <row r="82">
          <cell r="A82" t="str">
            <v>1-2-02-05-002  DEP. ACUM. CONSTRUCCION LINARES</v>
          </cell>
          <cell r="B82">
            <v>3002007</v>
          </cell>
          <cell r="C82">
            <v>3420943</v>
          </cell>
          <cell r="D82">
            <v>0</v>
          </cell>
          <cell r="E82">
            <v>418936</v>
          </cell>
          <cell r="F82">
            <v>0</v>
          </cell>
          <cell r="G82">
            <v>418936</v>
          </cell>
          <cell r="H82">
            <v>0</v>
          </cell>
          <cell r="I82">
            <v>0</v>
          </cell>
          <cell r="J82">
            <v>-418936</v>
          </cell>
        </row>
        <row r="83">
          <cell r="A83" t="str">
            <v>1-2-02-05-003  DEP. ACUM. CONSTRUCCION TALCA</v>
          </cell>
          <cell r="B83">
            <v>10560575</v>
          </cell>
          <cell r="C83">
            <v>12320670</v>
          </cell>
          <cell r="D83">
            <v>0</v>
          </cell>
          <cell r="E83">
            <v>1760095</v>
          </cell>
          <cell r="F83">
            <v>0</v>
          </cell>
          <cell r="G83">
            <v>1760095</v>
          </cell>
          <cell r="H83">
            <v>0</v>
          </cell>
          <cell r="I83">
            <v>0</v>
          </cell>
          <cell r="J83">
            <v>-1760095</v>
          </cell>
        </row>
        <row r="84">
          <cell r="A84" t="str">
            <v>1-2-02-05-004  DEP. ACUM. CONSTRUCCION RENCA</v>
          </cell>
          <cell r="B84">
            <v>6598901</v>
          </cell>
          <cell r="C84">
            <v>7698717</v>
          </cell>
          <cell r="D84">
            <v>0</v>
          </cell>
          <cell r="E84">
            <v>1099816</v>
          </cell>
          <cell r="F84">
            <v>0</v>
          </cell>
          <cell r="G84">
            <v>1099816</v>
          </cell>
          <cell r="H84">
            <v>0</v>
          </cell>
          <cell r="I84">
            <v>0</v>
          </cell>
          <cell r="J84">
            <v>-1099816</v>
          </cell>
        </row>
        <row r="85">
          <cell r="A85" t="str">
            <v>1-2-02-05-005  DEP. ACUM. CONSTRUCCION VICENTE VALDES</v>
          </cell>
          <cell r="B85">
            <v>26482304</v>
          </cell>
          <cell r="C85">
            <v>30896022</v>
          </cell>
          <cell r="D85">
            <v>0</v>
          </cell>
          <cell r="E85">
            <v>4413718</v>
          </cell>
          <cell r="F85">
            <v>0</v>
          </cell>
          <cell r="G85">
            <v>4413718</v>
          </cell>
          <cell r="H85">
            <v>0</v>
          </cell>
          <cell r="I85">
            <v>0</v>
          </cell>
          <cell r="J85">
            <v>-4413718</v>
          </cell>
        </row>
        <row r="86">
          <cell r="A86" t="str">
            <v>1-2-02-05-008  DEP. ACUM. CONSTRUCCION LOS MORROS</v>
          </cell>
          <cell r="B86">
            <v>14513601</v>
          </cell>
          <cell r="C86">
            <v>16932537</v>
          </cell>
          <cell r="D86">
            <v>0</v>
          </cell>
          <cell r="E86">
            <v>2418936</v>
          </cell>
          <cell r="F86">
            <v>0</v>
          </cell>
          <cell r="G86">
            <v>2418936</v>
          </cell>
          <cell r="H86">
            <v>0</v>
          </cell>
          <cell r="I86">
            <v>0</v>
          </cell>
          <cell r="J86">
            <v>-2418936</v>
          </cell>
        </row>
        <row r="87">
          <cell r="A87" t="str">
            <v>1-2-02-05-009  DEP. ACUM. CONSTRUCCION TALCA COLIN</v>
          </cell>
          <cell r="B87">
            <v>25139666</v>
          </cell>
          <cell r="C87">
            <v>29329605</v>
          </cell>
          <cell r="D87">
            <v>0</v>
          </cell>
          <cell r="E87">
            <v>4189939</v>
          </cell>
          <cell r="F87">
            <v>0</v>
          </cell>
          <cell r="G87">
            <v>4189939</v>
          </cell>
          <cell r="H87">
            <v>0</v>
          </cell>
          <cell r="I87">
            <v>0</v>
          </cell>
          <cell r="J87">
            <v>-4189939</v>
          </cell>
        </row>
        <row r="88">
          <cell r="A88" t="str">
            <v>1-2-02-05-010  DEP. ACUM. CONSTRUCCION TALAGANTE</v>
          </cell>
          <cell r="B88">
            <v>11789725</v>
          </cell>
          <cell r="C88">
            <v>13754682</v>
          </cell>
          <cell r="D88">
            <v>0</v>
          </cell>
          <cell r="E88">
            <v>1964957</v>
          </cell>
          <cell r="F88">
            <v>0</v>
          </cell>
          <cell r="G88">
            <v>1964957</v>
          </cell>
          <cell r="H88">
            <v>0</v>
          </cell>
          <cell r="I88">
            <v>0</v>
          </cell>
          <cell r="J88">
            <v>-1964957</v>
          </cell>
        </row>
        <row r="89">
          <cell r="A89" t="str">
            <v>1-2-02-05-011  DEP. ACUM. CONSTRUCCION J. ESPINOZA</v>
          </cell>
          <cell r="B89">
            <v>11061699</v>
          </cell>
          <cell r="C89">
            <v>12905312</v>
          </cell>
          <cell r="D89">
            <v>0</v>
          </cell>
          <cell r="E89">
            <v>1843613</v>
          </cell>
          <cell r="F89">
            <v>0</v>
          </cell>
          <cell r="G89">
            <v>1843613</v>
          </cell>
          <cell r="H89">
            <v>0</v>
          </cell>
          <cell r="I89">
            <v>0</v>
          </cell>
          <cell r="J89">
            <v>-1843613</v>
          </cell>
        </row>
        <row r="90">
          <cell r="A90" t="str">
            <v>1-2-02-05-019  DEPREC. ACUM. REÑACA NORTE</v>
          </cell>
          <cell r="B90">
            <v>2022052</v>
          </cell>
          <cell r="C90">
            <v>2359061</v>
          </cell>
          <cell r="D90">
            <v>0</v>
          </cell>
          <cell r="E90">
            <v>337009</v>
          </cell>
          <cell r="F90">
            <v>0</v>
          </cell>
          <cell r="G90">
            <v>337009</v>
          </cell>
          <cell r="H90">
            <v>0</v>
          </cell>
          <cell r="I90">
            <v>0</v>
          </cell>
          <cell r="J90">
            <v>-337009</v>
          </cell>
        </row>
        <row r="91">
          <cell r="A91" t="str">
            <v>1-2-02-05-021  DEPRECACUM. PROY.GIMNASIO LINARES</v>
          </cell>
          <cell r="B91">
            <v>15319417</v>
          </cell>
          <cell r="C91">
            <v>17872660</v>
          </cell>
          <cell r="D91">
            <v>0</v>
          </cell>
          <cell r="E91">
            <v>2553243</v>
          </cell>
          <cell r="F91">
            <v>0</v>
          </cell>
          <cell r="G91">
            <v>2553243</v>
          </cell>
          <cell r="H91">
            <v>0</v>
          </cell>
          <cell r="I91">
            <v>0</v>
          </cell>
          <cell r="J91">
            <v>-2553243</v>
          </cell>
        </row>
        <row r="92">
          <cell r="A92" t="str">
            <v>1-2-02-05-027  DEP. ACUM. INM PELLUHUE</v>
          </cell>
          <cell r="B92">
            <v>1397447</v>
          </cell>
          <cell r="C92">
            <v>1630355</v>
          </cell>
          <cell r="D92">
            <v>0</v>
          </cell>
          <cell r="E92">
            <v>232908</v>
          </cell>
          <cell r="F92">
            <v>0</v>
          </cell>
          <cell r="G92">
            <v>232908</v>
          </cell>
          <cell r="H92">
            <v>0</v>
          </cell>
          <cell r="I92">
            <v>0</v>
          </cell>
          <cell r="J92">
            <v>-232908</v>
          </cell>
        </row>
        <row r="93">
          <cell r="A93" t="str">
            <v>1-2-02-05-028  DEP. ACUM. INM. LOS MAITENES</v>
          </cell>
          <cell r="B93">
            <v>13967970</v>
          </cell>
          <cell r="C93">
            <v>16260003</v>
          </cell>
          <cell r="D93">
            <v>0</v>
          </cell>
          <cell r="E93">
            <v>2292033</v>
          </cell>
          <cell r="F93">
            <v>0</v>
          </cell>
          <cell r="G93">
            <v>2292033</v>
          </cell>
          <cell r="H93">
            <v>0</v>
          </cell>
          <cell r="I93">
            <v>0</v>
          </cell>
          <cell r="J93">
            <v>-2292033</v>
          </cell>
        </row>
        <row r="94">
          <cell r="A94" t="str">
            <v>1-2-02-05-030  DEP.ACUM. PROYECTO MULCHEN</v>
          </cell>
          <cell r="B94">
            <v>25489883</v>
          </cell>
          <cell r="C94">
            <v>29738191</v>
          </cell>
          <cell r="D94">
            <v>0</v>
          </cell>
          <cell r="E94">
            <v>4248308</v>
          </cell>
          <cell r="F94">
            <v>0</v>
          </cell>
          <cell r="G94">
            <v>4248308</v>
          </cell>
          <cell r="H94">
            <v>0</v>
          </cell>
          <cell r="I94">
            <v>0</v>
          </cell>
          <cell r="J94">
            <v>-4248308</v>
          </cell>
        </row>
        <row r="95">
          <cell r="A95" t="str">
            <v>1-2-02-05-603  DEP ACUMU EL TREBOL LINARES</v>
          </cell>
          <cell r="B95">
            <v>15300059</v>
          </cell>
          <cell r="C95">
            <v>17850069</v>
          </cell>
          <cell r="D95">
            <v>0</v>
          </cell>
          <cell r="E95">
            <v>2550010</v>
          </cell>
          <cell r="F95">
            <v>0</v>
          </cell>
          <cell r="G95">
            <v>2550010</v>
          </cell>
          <cell r="H95">
            <v>0</v>
          </cell>
          <cell r="I95">
            <v>0</v>
          </cell>
          <cell r="J95">
            <v>-2550010</v>
          </cell>
        </row>
        <row r="96">
          <cell r="A96" t="str">
            <v>1-2-02-06-001  DEP. ACUM. BIENES RAICES</v>
          </cell>
          <cell r="B96">
            <v>19418911</v>
          </cell>
          <cell r="C96">
            <v>22943857</v>
          </cell>
          <cell r="D96">
            <v>0</v>
          </cell>
          <cell r="E96">
            <v>3524946</v>
          </cell>
          <cell r="F96">
            <v>0</v>
          </cell>
          <cell r="G96">
            <v>3524946</v>
          </cell>
          <cell r="H96">
            <v>0</v>
          </cell>
          <cell r="I96">
            <v>0</v>
          </cell>
          <cell r="J96">
            <v>-3524946</v>
          </cell>
        </row>
        <row r="97">
          <cell r="A97" t="str">
            <v>1-3-01-02-003  BOLETA GARANTIAS LOCATARIOS (ORDEN)</v>
          </cell>
          <cell r="B97">
            <v>68513789</v>
          </cell>
          <cell r="C97">
            <v>68660826</v>
          </cell>
          <cell r="D97">
            <v>0</v>
          </cell>
          <cell r="E97">
            <v>147037</v>
          </cell>
          <cell r="F97">
            <v>0</v>
          </cell>
          <cell r="G97">
            <v>147037</v>
          </cell>
          <cell r="H97">
            <v>0</v>
          </cell>
          <cell r="I97">
            <v>0</v>
          </cell>
          <cell r="J97">
            <v>-147037</v>
          </cell>
        </row>
        <row r="98">
          <cell r="A98" t="str">
            <v>2-1-01-01-009  PRESTAMO  BCO INTERNACIONAL CP M$600</v>
          </cell>
          <cell r="B98">
            <v>26902416</v>
          </cell>
          <cell r="C98">
            <v>26902422</v>
          </cell>
          <cell r="D98">
            <v>0</v>
          </cell>
          <cell r="E98">
            <v>6</v>
          </cell>
          <cell r="F98">
            <v>0</v>
          </cell>
          <cell r="G98">
            <v>6</v>
          </cell>
          <cell r="H98">
            <v>0</v>
          </cell>
          <cell r="I98">
            <v>0</v>
          </cell>
          <cell r="J98">
            <v>6</v>
          </cell>
        </row>
        <row r="99">
          <cell r="A99" t="str">
            <v>2-1-01-01-010  USO LINEA CRÉDITO BANCO SANTANDER</v>
          </cell>
          <cell r="B99">
            <v>1062923043</v>
          </cell>
          <cell r="C99">
            <v>743885008</v>
          </cell>
          <cell r="D99">
            <v>319038035</v>
          </cell>
          <cell r="E99">
            <v>0</v>
          </cell>
          <cell r="F99">
            <v>319038035</v>
          </cell>
          <cell r="G99">
            <v>0</v>
          </cell>
          <cell r="H99">
            <v>0</v>
          </cell>
          <cell r="I99">
            <v>0</v>
          </cell>
          <cell r="J99">
            <v>-319038035</v>
          </cell>
        </row>
        <row r="100">
          <cell r="A100" t="str">
            <v>2-1-01-01-011  USO LINEA CREDITO BANCO BCI</v>
          </cell>
          <cell r="B100">
            <v>93874034</v>
          </cell>
          <cell r="C100">
            <v>75290843</v>
          </cell>
          <cell r="D100">
            <v>18583191</v>
          </cell>
          <cell r="E100">
            <v>0</v>
          </cell>
          <cell r="F100">
            <v>18583191</v>
          </cell>
          <cell r="G100">
            <v>0</v>
          </cell>
          <cell r="H100">
            <v>0</v>
          </cell>
          <cell r="I100">
            <v>0</v>
          </cell>
          <cell r="J100">
            <v>-18583191</v>
          </cell>
        </row>
        <row r="101">
          <cell r="A101" t="str">
            <v>2-1-01-02-001  OBLIG. LEASING 1 SUR 1990 C/PLAZO</v>
          </cell>
          <cell r="B101">
            <v>8136840</v>
          </cell>
          <cell r="C101">
            <v>0</v>
          </cell>
          <cell r="D101">
            <v>8136840</v>
          </cell>
          <cell r="E101">
            <v>0</v>
          </cell>
          <cell r="F101">
            <v>8136840</v>
          </cell>
          <cell r="G101">
            <v>0</v>
          </cell>
          <cell r="H101">
            <v>0</v>
          </cell>
          <cell r="I101">
            <v>0</v>
          </cell>
          <cell r="J101">
            <v>-8136840</v>
          </cell>
        </row>
        <row r="102">
          <cell r="A102" t="str">
            <v>2-1-01-02-002  OBLIG. LEASING SAN JAVIER C/PLAZO</v>
          </cell>
          <cell r="B102">
            <v>6996340</v>
          </cell>
          <cell r="C102">
            <v>0</v>
          </cell>
          <cell r="D102">
            <v>6996340</v>
          </cell>
          <cell r="E102">
            <v>0</v>
          </cell>
          <cell r="F102">
            <v>6996340</v>
          </cell>
          <cell r="G102">
            <v>0</v>
          </cell>
          <cell r="H102">
            <v>0</v>
          </cell>
          <cell r="I102">
            <v>0</v>
          </cell>
          <cell r="J102">
            <v>-6996340</v>
          </cell>
        </row>
        <row r="103">
          <cell r="A103" t="str">
            <v>2-1-01-02-003  OBLIG. LEASING COLIN 0240 TALCA</v>
          </cell>
          <cell r="B103">
            <v>13168117</v>
          </cell>
          <cell r="C103">
            <v>0</v>
          </cell>
          <cell r="D103">
            <v>13168117</v>
          </cell>
          <cell r="E103">
            <v>0</v>
          </cell>
          <cell r="F103">
            <v>13168117</v>
          </cell>
          <cell r="G103">
            <v>0</v>
          </cell>
          <cell r="H103">
            <v>0</v>
          </cell>
          <cell r="I103">
            <v>0</v>
          </cell>
          <cell r="J103">
            <v>-13168117</v>
          </cell>
        </row>
        <row r="104">
          <cell r="A104" t="str">
            <v>2-1-01-02-004  OBLIG. LEASING C. SATELITE C/PLAZO</v>
          </cell>
          <cell r="B104">
            <v>19359476</v>
          </cell>
          <cell r="C104">
            <v>0</v>
          </cell>
          <cell r="D104">
            <v>19359476</v>
          </cell>
          <cell r="E104">
            <v>0</v>
          </cell>
          <cell r="F104">
            <v>19359476</v>
          </cell>
          <cell r="G104">
            <v>0</v>
          </cell>
          <cell r="H104">
            <v>0</v>
          </cell>
          <cell r="I104">
            <v>0</v>
          </cell>
          <cell r="J104">
            <v>-19359476</v>
          </cell>
        </row>
        <row r="105">
          <cell r="A105" t="str">
            <v>2-1-01-02-005  OBLIG. LEASING 11 ORIENTE C/PLAZO</v>
          </cell>
          <cell r="B105">
            <v>6611844</v>
          </cell>
          <cell r="C105">
            <v>6074109</v>
          </cell>
          <cell r="D105">
            <v>537735</v>
          </cell>
          <cell r="E105">
            <v>0</v>
          </cell>
          <cell r="F105">
            <v>537735</v>
          </cell>
          <cell r="G105">
            <v>0</v>
          </cell>
          <cell r="H105">
            <v>0</v>
          </cell>
          <cell r="I105">
            <v>0</v>
          </cell>
          <cell r="J105">
            <v>-537735</v>
          </cell>
        </row>
        <row r="106">
          <cell r="A106" t="str">
            <v>2-1-01-02-006  OBLIG. LEASING MAIPU 556 C/PLAZO</v>
          </cell>
          <cell r="B106">
            <v>5851687</v>
          </cell>
          <cell r="C106">
            <v>5375775</v>
          </cell>
          <cell r="D106">
            <v>475912</v>
          </cell>
          <cell r="E106">
            <v>0</v>
          </cell>
          <cell r="F106">
            <v>475912</v>
          </cell>
          <cell r="G106">
            <v>0</v>
          </cell>
          <cell r="H106">
            <v>0</v>
          </cell>
          <cell r="I106">
            <v>0</v>
          </cell>
          <cell r="J106">
            <v>-475912</v>
          </cell>
        </row>
        <row r="107">
          <cell r="A107" t="str">
            <v>2-1-01-02-007  OBLIG. LEASING BRASIL 648 C/PLAZO</v>
          </cell>
          <cell r="B107">
            <v>4486294</v>
          </cell>
          <cell r="C107">
            <v>4121427</v>
          </cell>
          <cell r="D107">
            <v>364867</v>
          </cell>
          <cell r="E107">
            <v>0</v>
          </cell>
          <cell r="F107">
            <v>364867</v>
          </cell>
          <cell r="G107">
            <v>0</v>
          </cell>
          <cell r="H107">
            <v>0</v>
          </cell>
          <cell r="I107">
            <v>0</v>
          </cell>
          <cell r="J107">
            <v>-364867</v>
          </cell>
        </row>
        <row r="108">
          <cell r="A108" t="str">
            <v>2-1-01-02-008  OBLIG. LEASING VIAL 224 C/PLAZO</v>
          </cell>
          <cell r="B108">
            <v>5364047</v>
          </cell>
          <cell r="C108">
            <v>4927794</v>
          </cell>
          <cell r="D108">
            <v>436253</v>
          </cell>
          <cell r="E108">
            <v>0</v>
          </cell>
          <cell r="F108">
            <v>436253</v>
          </cell>
          <cell r="G108">
            <v>0</v>
          </cell>
          <cell r="H108">
            <v>0</v>
          </cell>
          <cell r="I108">
            <v>0</v>
          </cell>
          <cell r="J108">
            <v>-436253</v>
          </cell>
        </row>
        <row r="109">
          <cell r="A109" t="str">
            <v>2-1-01-02-009  OBLIG. LEASING TALCA COLIN C/PLAZO</v>
          </cell>
          <cell r="B109">
            <v>48533762</v>
          </cell>
          <cell r="C109">
            <v>44731888</v>
          </cell>
          <cell r="D109">
            <v>3801874</v>
          </cell>
          <cell r="E109">
            <v>0</v>
          </cell>
          <cell r="F109">
            <v>3801874</v>
          </cell>
          <cell r="G109">
            <v>0</v>
          </cell>
          <cell r="H109">
            <v>0</v>
          </cell>
          <cell r="I109">
            <v>0</v>
          </cell>
          <cell r="J109">
            <v>-3801874</v>
          </cell>
        </row>
        <row r="110">
          <cell r="A110" t="str">
            <v>2-1-01-02-010  OBLIG. HIPOTECARIO C/PLAZO</v>
          </cell>
          <cell r="B110">
            <v>15846195</v>
          </cell>
          <cell r="C110">
            <v>0</v>
          </cell>
          <cell r="D110">
            <v>15846195</v>
          </cell>
          <cell r="E110">
            <v>0</v>
          </cell>
          <cell r="F110">
            <v>15846195</v>
          </cell>
          <cell r="G110">
            <v>0</v>
          </cell>
          <cell r="H110">
            <v>0</v>
          </cell>
          <cell r="I110">
            <v>0</v>
          </cell>
          <cell r="J110">
            <v>-15846195</v>
          </cell>
        </row>
        <row r="111">
          <cell r="A111" t="str">
            <v>2-1-01-02-011  OBLIG.LEASING VALPO  C/P</v>
          </cell>
          <cell r="B111">
            <v>24379914</v>
          </cell>
          <cell r="C111">
            <v>23652889</v>
          </cell>
          <cell r="D111">
            <v>727025</v>
          </cell>
          <cell r="E111">
            <v>0</v>
          </cell>
          <cell r="F111">
            <v>727025</v>
          </cell>
          <cell r="G111">
            <v>0</v>
          </cell>
          <cell r="H111">
            <v>0</v>
          </cell>
          <cell r="I111">
            <v>0</v>
          </cell>
          <cell r="J111">
            <v>-727025</v>
          </cell>
        </row>
        <row r="112">
          <cell r="A112" t="str">
            <v>2-1-01-02-012  OBLIG.LEASING CAUQUENES C/P</v>
          </cell>
          <cell r="B112">
            <v>9164911</v>
          </cell>
          <cell r="C112">
            <v>8861465</v>
          </cell>
          <cell r="D112">
            <v>303446</v>
          </cell>
          <cell r="E112">
            <v>0</v>
          </cell>
          <cell r="F112">
            <v>303446</v>
          </cell>
          <cell r="G112">
            <v>0</v>
          </cell>
          <cell r="H112">
            <v>0</v>
          </cell>
          <cell r="I112">
            <v>0</v>
          </cell>
          <cell r="J112">
            <v>-303446</v>
          </cell>
        </row>
        <row r="113">
          <cell r="A113" t="str">
            <v>2-1-01-02-013  OBLIG. LEASING OUTLET C/P</v>
          </cell>
          <cell r="B113">
            <v>67288537</v>
          </cell>
          <cell r="C113">
            <v>64149180</v>
          </cell>
          <cell r="D113">
            <v>3139357</v>
          </cell>
          <cell r="E113">
            <v>0</v>
          </cell>
          <cell r="F113">
            <v>3139357</v>
          </cell>
          <cell r="G113">
            <v>0</v>
          </cell>
          <cell r="H113">
            <v>0</v>
          </cell>
          <cell r="I113">
            <v>0</v>
          </cell>
          <cell r="J113">
            <v>-3139357</v>
          </cell>
        </row>
        <row r="114">
          <cell r="A114" t="str">
            <v>2-1-01-02-014  OBLIG HIPOTECARIO LOS MORRO CP</v>
          </cell>
          <cell r="B114">
            <v>34711811</v>
          </cell>
          <cell r="C114">
            <v>33813456</v>
          </cell>
          <cell r="D114">
            <v>898355</v>
          </cell>
          <cell r="E114">
            <v>0</v>
          </cell>
          <cell r="F114">
            <v>898355</v>
          </cell>
          <cell r="G114">
            <v>0</v>
          </cell>
          <cell r="H114">
            <v>0</v>
          </cell>
          <cell r="I114">
            <v>0</v>
          </cell>
          <cell r="J114">
            <v>-898355</v>
          </cell>
        </row>
        <row r="115">
          <cell r="A115" t="str">
            <v>2-1-01-03-002  OBLIG LEASING VEHICULOS  CP 2</v>
          </cell>
          <cell r="B115">
            <v>3532300</v>
          </cell>
          <cell r="C115">
            <v>3434922</v>
          </cell>
          <cell r="D115">
            <v>97378</v>
          </cell>
          <cell r="E115">
            <v>0</v>
          </cell>
          <cell r="F115">
            <v>97378</v>
          </cell>
          <cell r="G115">
            <v>0</v>
          </cell>
          <cell r="H115">
            <v>0</v>
          </cell>
          <cell r="I115">
            <v>0</v>
          </cell>
          <cell r="J115">
            <v>-97378</v>
          </cell>
        </row>
        <row r="116">
          <cell r="A116" t="str">
            <v>2-1-02-01-005  MUTUOS POR PAGAR</v>
          </cell>
          <cell r="B116">
            <v>10000000</v>
          </cell>
          <cell r="C116">
            <v>553611</v>
          </cell>
          <cell r="D116">
            <v>9446389</v>
          </cell>
          <cell r="E116">
            <v>0</v>
          </cell>
          <cell r="F116">
            <v>9446389</v>
          </cell>
          <cell r="G116">
            <v>0</v>
          </cell>
          <cell r="H116">
            <v>0</v>
          </cell>
          <cell r="I116">
            <v>0</v>
          </cell>
          <cell r="J116">
            <v>-9446389</v>
          </cell>
        </row>
        <row r="117">
          <cell r="A117" t="str">
            <v>2-1-02-01-008  REMUNERACIONES POR PAGAR (2)</v>
          </cell>
          <cell r="B117">
            <v>98029112</v>
          </cell>
          <cell r="C117">
            <v>98029112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</row>
        <row r="118">
          <cell r="A118" t="str">
            <v>2-1-02-01-009  CUENTA POR PAGAR INVERSIONES NUEVA SANTA FIDELMIRA LIMITADA</v>
          </cell>
          <cell r="B118">
            <v>87050</v>
          </cell>
          <cell r="C118">
            <v>37718765</v>
          </cell>
          <cell r="D118">
            <v>0</v>
          </cell>
          <cell r="E118">
            <v>37631715</v>
          </cell>
          <cell r="F118">
            <v>0</v>
          </cell>
          <cell r="G118">
            <v>37631715</v>
          </cell>
          <cell r="H118">
            <v>0</v>
          </cell>
          <cell r="I118">
            <v>0</v>
          </cell>
          <cell r="J118">
            <v>37631715</v>
          </cell>
        </row>
        <row r="119">
          <cell r="A119" t="str">
            <v>2-1-02-01-010  Cuenta por pagar Constructora ERG</v>
          </cell>
          <cell r="B119">
            <v>0</v>
          </cell>
          <cell r="C119">
            <v>80000</v>
          </cell>
          <cell r="D119">
            <v>0</v>
          </cell>
          <cell r="E119">
            <v>80000</v>
          </cell>
          <cell r="F119">
            <v>0</v>
          </cell>
          <cell r="G119">
            <v>80000</v>
          </cell>
          <cell r="H119">
            <v>0</v>
          </cell>
          <cell r="I119">
            <v>0</v>
          </cell>
          <cell r="J119">
            <v>80000</v>
          </cell>
        </row>
        <row r="120">
          <cell r="A120" t="str">
            <v>2-1-03-01-001  GARANTIAS RECIBIDAS ARRENDATARIOS (CLP)</v>
          </cell>
          <cell r="B120">
            <v>1093001</v>
          </cell>
          <cell r="C120">
            <v>0</v>
          </cell>
          <cell r="D120">
            <v>1093001</v>
          </cell>
          <cell r="E120">
            <v>0</v>
          </cell>
          <cell r="F120">
            <v>1093001</v>
          </cell>
          <cell r="G120">
            <v>0</v>
          </cell>
          <cell r="H120">
            <v>0</v>
          </cell>
          <cell r="I120">
            <v>0</v>
          </cell>
          <cell r="J120">
            <v>-1093001</v>
          </cell>
        </row>
        <row r="121">
          <cell r="A121" t="str">
            <v>2-1-03-01-002  GARANTIAS RECIBIDAS ARRENDATARIOS (UF)</v>
          </cell>
          <cell r="B121">
            <v>200485657</v>
          </cell>
          <cell r="C121">
            <v>202324919</v>
          </cell>
          <cell r="D121">
            <v>0</v>
          </cell>
          <cell r="E121">
            <v>1839262</v>
          </cell>
          <cell r="F121">
            <v>0</v>
          </cell>
          <cell r="G121">
            <v>1839262</v>
          </cell>
          <cell r="H121">
            <v>0</v>
          </cell>
          <cell r="I121">
            <v>0</v>
          </cell>
          <cell r="J121">
            <v>1839262</v>
          </cell>
        </row>
        <row r="122">
          <cell r="A122" t="str">
            <v>2-1-03-01-008  CTA X PAGAR ISF DOLAR</v>
          </cell>
          <cell r="B122">
            <v>0</v>
          </cell>
          <cell r="C122">
            <v>124780716</v>
          </cell>
          <cell r="D122">
            <v>0</v>
          </cell>
          <cell r="E122">
            <v>124780716</v>
          </cell>
          <cell r="F122">
            <v>0</v>
          </cell>
          <cell r="G122">
            <v>124780716</v>
          </cell>
          <cell r="H122">
            <v>0</v>
          </cell>
          <cell r="I122">
            <v>0</v>
          </cell>
          <cell r="J122">
            <v>124780716</v>
          </cell>
        </row>
        <row r="123">
          <cell r="A123" t="str">
            <v>2-1-03-01-009  BOLETA GARANTIAS LOCATARIOS (ORDEN)</v>
          </cell>
          <cell r="B123">
            <v>68660826</v>
          </cell>
          <cell r="C123">
            <v>68513789</v>
          </cell>
          <cell r="D123">
            <v>147037</v>
          </cell>
          <cell r="E123">
            <v>0</v>
          </cell>
          <cell r="F123">
            <v>147037</v>
          </cell>
          <cell r="G123">
            <v>0</v>
          </cell>
          <cell r="H123">
            <v>0</v>
          </cell>
          <cell r="I123">
            <v>0</v>
          </cell>
          <cell r="J123">
            <v>-147037</v>
          </cell>
        </row>
        <row r="124">
          <cell r="A124" t="str">
            <v>2-1-03-02-001  ANTICIPO DE CLIENTES</v>
          </cell>
          <cell r="B124">
            <v>268254</v>
          </cell>
          <cell r="C124">
            <v>369953</v>
          </cell>
          <cell r="D124">
            <v>0</v>
          </cell>
          <cell r="E124">
            <v>101699</v>
          </cell>
          <cell r="F124">
            <v>0</v>
          </cell>
          <cell r="G124">
            <v>101699</v>
          </cell>
          <cell r="H124">
            <v>0</v>
          </cell>
          <cell r="I124">
            <v>0</v>
          </cell>
          <cell r="J124">
            <v>101699</v>
          </cell>
        </row>
        <row r="125">
          <cell r="A125" t="str">
            <v>2-1-04-01-001  IVA DEBITO FISCAL</v>
          </cell>
          <cell r="B125">
            <v>176854932</v>
          </cell>
          <cell r="C125">
            <v>176854932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2-1-04-01-002  IMPUESTO UNICO</v>
          </cell>
          <cell r="B126">
            <v>36747207</v>
          </cell>
          <cell r="C126">
            <v>36747250</v>
          </cell>
          <cell r="D126">
            <v>0</v>
          </cell>
          <cell r="E126">
            <v>43</v>
          </cell>
          <cell r="F126">
            <v>0</v>
          </cell>
          <cell r="G126">
            <v>43</v>
          </cell>
          <cell r="H126">
            <v>0</v>
          </cell>
          <cell r="I126">
            <v>0</v>
          </cell>
          <cell r="J126">
            <v>43</v>
          </cell>
        </row>
        <row r="127">
          <cell r="A127" t="str">
            <v>2-1-04-01-003  IMPUESTO 2° CATEGORIA</v>
          </cell>
          <cell r="B127">
            <v>1325911</v>
          </cell>
          <cell r="C127">
            <v>1293267</v>
          </cell>
          <cell r="D127">
            <v>32644</v>
          </cell>
          <cell r="E127">
            <v>0</v>
          </cell>
          <cell r="F127">
            <v>32644</v>
          </cell>
          <cell r="G127">
            <v>0</v>
          </cell>
          <cell r="H127">
            <v>0</v>
          </cell>
          <cell r="I127">
            <v>0</v>
          </cell>
          <cell r="J127">
            <v>-32644</v>
          </cell>
        </row>
        <row r="128">
          <cell r="A128" t="str">
            <v>2-1-04-01-005  IMPOSICIONES POR PAGAR</v>
          </cell>
          <cell r="B128">
            <v>11489405</v>
          </cell>
          <cell r="C128">
            <v>11135665</v>
          </cell>
          <cell r="D128">
            <v>353740</v>
          </cell>
          <cell r="E128">
            <v>0</v>
          </cell>
          <cell r="F128">
            <v>353740</v>
          </cell>
          <cell r="G128">
            <v>0</v>
          </cell>
          <cell r="H128">
            <v>0</v>
          </cell>
          <cell r="I128">
            <v>0</v>
          </cell>
          <cell r="J128">
            <v>-353740</v>
          </cell>
        </row>
        <row r="129">
          <cell r="A129" t="str">
            <v>2-1-06-01-001  PROVEEDORES 2</v>
          </cell>
          <cell r="B129">
            <v>1325550477</v>
          </cell>
          <cell r="C129">
            <v>1322641099</v>
          </cell>
          <cell r="D129">
            <v>2909378</v>
          </cell>
          <cell r="E129">
            <v>0</v>
          </cell>
          <cell r="F129">
            <v>2909378</v>
          </cell>
          <cell r="G129">
            <v>0</v>
          </cell>
          <cell r="H129">
            <v>0</v>
          </cell>
          <cell r="I129">
            <v>0</v>
          </cell>
          <cell r="J129">
            <v>-2909378</v>
          </cell>
        </row>
        <row r="130">
          <cell r="A130" t="str">
            <v>2-1-06-01-002  HONORARIOS POR PAGAR 2</v>
          </cell>
          <cell r="B130">
            <v>7401600</v>
          </cell>
          <cell r="C130">
            <v>7693110</v>
          </cell>
          <cell r="D130">
            <v>0</v>
          </cell>
          <cell r="E130">
            <v>291510</v>
          </cell>
          <cell r="F130">
            <v>0</v>
          </cell>
          <cell r="G130">
            <v>291510</v>
          </cell>
          <cell r="H130">
            <v>0</v>
          </cell>
          <cell r="I130">
            <v>0</v>
          </cell>
          <cell r="J130">
            <v>291510</v>
          </cell>
        </row>
        <row r="131">
          <cell r="A131" t="str">
            <v>2-1-06-01-006  CHEQUES GIRADOS POR PAGAR 2</v>
          </cell>
          <cell r="B131">
            <v>20904648</v>
          </cell>
          <cell r="C131">
            <v>23826238</v>
          </cell>
          <cell r="D131">
            <v>0</v>
          </cell>
          <cell r="E131">
            <v>2921590</v>
          </cell>
          <cell r="F131">
            <v>0</v>
          </cell>
          <cell r="G131">
            <v>2921590</v>
          </cell>
          <cell r="H131">
            <v>0</v>
          </cell>
          <cell r="I131">
            <v>0</v>
          </cell>
          <cell r="J131">
            <v>2921590</v>
          </cell>
        </row>
        <row r="132">
          <cell r="A132" t="str">
            <v>2-1-06-01-007  SEGURO SALUD COMPLEMENTARIO</v>
          </cell>
          <cell r="B132">
            <v>293843</v>
          </cell>
          <cell r="C132">
            <v>293843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2-2-01-01-004  PRESTAMO  BCO INTERNACIONAL LP M$600</v>
          </cell>
          <cell r="B133">
            <v>29596668</v>
          </cell>
          <cell r="C133">
            <v>0</v>
          </cell>
          <cell r="D133">
            <v>29596668</v>
          </cell>
          <cell r="E133">
            <v>0</v>
          </cell>
          <cell r="F133">
            <v>29596668</v>
          </cell>
          <cell r="G133">
            <v>0</v>
          </cell>
          <cell r="H133">
            <v>0</v>
          </cell>
          <cell r="I133">
            <v>0</v>
          </cell>
          <cell r="J133">
            <v>-29596668</v>
          </cell>
        </row>
        <row r="134">
          <cell r="A134" t="str">
            <v>2-2-01-02-005  OBLIG. LEASING 11 ORIENTE 1550 L/PLAZO</v>
          </cell>
          <cell r="B134">
            <v>6880028</v>
          </cell>
          <cell r="C134">
            <v>0</v>
          </cell>
          <cell r="D134">
            <v>6880028</v>
          </cell>
          <cell r="E134">
            <v>0</v>
          </cell>
          <cell r="F134">
            <v>6880028</v>
          </cell>
          <cell r="G134">
            <v>0</v>
          </cell>
          <cell r="H134">
            <v>0</v>
          </cell>
          <cell r="I134">
            <v>0</v>
          </cell>
          <cell r="J134">
            <v>-6880028</v>
          </cell>
        </row>
        <row r="135">
          <cell r="A135" t="str">
            <v>2-2-01-02-006  OBLIG. LEASING MAIPU 556 L/PLAZO</v>
          </cell>
          <cell r="B135">
            <v>6089039</v>
          </cell>
          <cell r="C135">
            <v>0</v>
          </cell>
          <cell r="D135">
            <v>6089039</v>
          </cell>
          <cell r="E135">
            <v>0</v>
          </cell>
          <cell r="F135">
            <v>6089039</v>
          </cell>
          <cell r="G135">
            <v>0</v>
          </cell>
          <cell r="H135">
            <v>0</v>
          </cell>
          <cell r="I135">
            <v>0</v>
          </cell>
          <cell r="J135">
            <v>-6089039</v>
          </cell>
        </row>
        <row r="136">
          <cell r="A136" t="str">
            <v>2-2-01-02-007  OBLIG. LEASING BRASIL 648 L/PLAZO</v>
          </cell>
          <cell r="B136">
            <v>4668263</v>
          </cell>
          <cell r="C136">
            <v>0</v>
          </cell>
          <cell r="D136">
            <v>4668263</v>
          </cell>
          <cell r="E136">
            <v>0</v>
          </cell>
          <cell r="F136">
            <v>4668263</v>
          </cell>
          <cell r="G136">
            <v>0</v>
          </cell>
          <cell r="H136">
            <v>0</v>
          </cell>
          <cell r="I136">
            <v>0</v>
          </cell>
          <cell r="J136">
            <v>-4668263</v>
          </cell>
        </row>
        <row r="137">
          <cell r="A137" t="str">
            <v>2-2-01-02-008  OBLIG. LEASING VIAL 224 L/PLAZO</v>
          </cell>
          <cell r="B137">
            <v>5581619</v>
          </cell>
          <cell r="C137">
            <v>0</v>
          </cell>
          <cell r="D137">
            <v>5581619</v>
          </cell>
          <cell r="E137">
            <v>0</v>
          </cell>
          <cell r="F137">
            <v>5581619</v>
          </cell>
          <cell r="G137">
            <v>0</v>
          </cell>
          <cell r="H137">
            <v>0</v>
          </cell>
          <cell r="I137">
            <v>0</v>
          </cell>
          <cell r="J137">
            <v>-5581619</v>
          </cell>
        </row>
        <row r="138">
          <cell r="A138" t="str">
            <v>2-2-01-02-009  OBLIG. LEASING TALCA COLIN L/PLAZO</v>
          </cell>
          <cell r="B138">
            <v>54477550</v>
          </cell>
          <cell r="C138">
            <v>0</v>
          </cell>
          <cell r="D138">
            <v>54477550</v>
          </cell>
          <cell r="E138">
            <v>0</v>
          </cell>
          <cell r="F138">
            <v>54477550</v>
          </cell>
          <cell r="G138">
            <v>0</v>
          </cell>
          <cell r="H138">
            <v>0</v>
          </cell>
          <cell r="I138">
            <v>0</v>
          </cell>
          <cell r="J138">
            <v>-54477550</v>
          </cell>
        </row>
        <row r="139">
          <cell r="A139" t="str">
            <v>2-2-01-02-010  OBLIG.LEASING  VALPO L/P</v>
          </cell>
          <cell r="B139">
            <v>32015131</v>
          </cell>
          <cell r="C139">
            <v>0</v>
          </cell>
          <cell r="D139">
            <v>32015131</v>
          </cell>
          <cell r="E139">
            <v>0</v>
          </cell>
          <cell r="F139">
            <v>32015131</v>
          </cell>
          <cell r="G139">
            <v>0</v>
          </cell>
          <cell r="H139">
            <v>0</v>
          </cell>
          <cell r="I139">
            <v>0</v>
          </cell>
          <cell r="J139">
            <v>-32015131</v>
          </cell>
        </row>
        <row r="140">
          <cell r="A140" t="str">
            <v>2-2-01-02-011  OBLIG.LEASING CAUQUENES  L/P</v>
          </cell>
          <cell r="B140">
            <v>13274812</v>
          </cell>
          <cell r="C140">
            <v>0</v>
          </cell>
          <cell r="D140">
            <v>13274812</v>
          </cell>
          <cell r="E140">
            <v>0</v>
          </cell>
          <cell r="F140">
            <v>13274812</v>
          </cell>
          <cell r="G140">
            <v>0</v>
          </cell>
          <cell r="H140">
            <v>0</v>
          </cell>
          <cell r="I140">
            <v>0</v>
          </cell>
          <cell r="J140">
            <v>-13274812</v>
          </cell>
        </row>
        <row r="141">
          <cell r="A141" t="str">
            <v>2-2-01-02-012  OBLIGAC. LEASING OUTLET L/P</v>
          </cell>
          <cell r="B141">
            <v>162574000</v>
          </cell>
          <cell r="C141">
            <v>0</v>
          </cell>
          <cell r="D141">
            <v>162574000</v>
          </cell>
          <cell r="E141">
            <v>0</v>
          </cell>
          <cell r="F141">
            <v>162574000</v>
          </cell>
          <cell r="G141">
            <v>0</v>
          </cell>
          <cell r="H141">
            <v>0</v>
          </cell>
          <cell r="I141">
            <v>0</v>
          </cell>
          <cell r="J141">
            <v>-162574000</v>
          </cell>
        </row>
        <row r="142">
          <cell r="A142" t="str">
            <v>2-2-01-02-013  OBLIG LEASING VEHICULOS LP</v>
          </cell>
          <cell r="B142">
            <v>3636326</v>
          </cell>
          <cell r="C142">
            <v>0</v>
          </cell>
          <cell r="D142">
            <v>3636326</v>
          </cell>
          <cell r="E142">
            <v>0</v>
          </cell>
          <cell r="F142">
            <v>3636326</v>
          </cell>
          <cell r="G142">
            <v>0</v>
          </cell>
          <cell r="H142">
            <v>0</v>
          </cell>
          <cell r="I142">
            <v>0</v>
          </cell>
          <cell r="J142">
            <v>-3636326</v>
          </cell>
        </row>
        <row r="143">
          <cell r="A143" t="str">
            <v>2-2-01-02-014  OBLIG HIPOTECARIO LOS MORRO LP</v>
          </cell>
          <cell r="B143">
            <v>44536962</v>
          </cell>
          <cell r="C143">
            <v>0</v>
          </cell>
          <cell r="D143">
            <v>44536962</v>
          </cell>
          <cell r="E143">
            <v>0</v>
          </cell>
          <cell r="F143">
            <v>44536962</v>
          </cell>
          <cell r="G143">
            <v>0</v>
          </cell>
          <cell r="H143">
            <v>0</v>
          </cell>
          <cell r="I143">
            <v>0</v>
          </cell>
          <cell r="J143">
            <v>-44536962</v>
          </cell>
        </row>
        <row r="144">
          <cell r="A144" t="str">
            <v>3-2-01-01-002  RESULTADOS ACUMULADOS</v>
          </cell>
          <cell r="B144">
            <v>200686590</v>
          </cell>
          <cell r="C144">
            <v>498692</v>
          </cell>
          <cell r="D144">
            <v>200187898</v>
          </cell>
          <cell r="E144">
            <v>0</v>
          </cell>
          <cell r="F144">
            <v>200187898</v>
          </cell>
          <cell r="G144">
            <v>0</v>
          </cell>
          <cell r="H144">
            <v>0</v>
          </cell>
          <cell r="I144">
            <v>0</v>
          </cell>
          <cell r="J144">
            <v>-200187898</v>
          </cell>
        </row>
        <row r="145">
          <cell r="A145" t="str">
            <v>4-1-01-01-001  ARRIENDO FIJO</v>
          </cell>
          <cell r="B145">
            <v>68993842</v>
          </cell>
          <cell r="C145">
            <v>884730824</v>
          </cell>
          <cell r="D145">
            <v>0</v>
          </cell>
          <cell r="E145">
            <v>815736982</v>
          </cell>
          <cell r="F145">
            <v>0</v>
          </cell>
          <cell r="G145">
            <v>0</v>
          </cell>
          <cell r="H145">
            <v>0</v>
          </cell>
          <cell r="I145">
            <v>815736982</v>
          </cell>
          <cell r="J145">
            <v>815736982</v>
          </cell>
        </row>
        <row r="146">
          <cell r="A146" t="str">
            <v>4-1-01-01-002  ARRIENDO VARIABLE</v>
          </cell>
          <cell r="B146">
            <v>132358250</v>
          </cell>
          <cell r="C146">
            <v>246188820</v>
          </cell>
          <cell r="D146">
            <v>0</v>
          </cell>
          <cell r="E146">
            <v>113830570</v>
          </cell>
          <cell r="F146">
            <v>0</v>
          </cell>
          <cell r="G146">
            <v>0</v>
          </cell>
          <cell r="H146">
            <v>0</v>
          </cell>
          <cell r="I146">
            <v>113830570</v>
          </cell>
          <cell r="J146">
            <v>113830570</v>
          </cell>
        </row>
        <row r="147">
          <cell r="A147" t="str">
            <v>4-1-01-01-005  CONSUMOS DE AGUAS</v>
          </cell>
          <cell r="B147">
            <v>3105506</v>
          </cell>
          <cell r="C147">
            <v>10983119</v>
          </cell>
          <cell r="D147">
            <v>0</v>
          </cell>
          <cell r="E147">
            <v>7877613</v>
          </cell>
          <cell r="F147">
            <v>0</v>
          </cell>
          <cell r="G147">
            <v>0</v>
          </cell>
          <cell r="H147">
            <v>0</v>
          </cell>
          <cell r="I147">
            <v>7877613</v>
          </cell>
          <cell r="J147">
            <v>7877613</v>
          </cell>
        </row>
        <row r="148">
          <cell r="A148" t="str">
            <v>4-1-01-01-006  CONSUMOS DE LUZ</v>
          </cell>
          <cell r="B148">
            <v>28697847</v>
          </cell>
          <cell r="C148">
            <v>151254193</v>
          </cell>
          <cell r="D148">
            <v>0</v>
          </cell>
          <cell r="E148">
            <v>122556346</v>
          </cell>
          <cell r="F148">
            <v>0</v>
          </cell>
          <cell r="G148">
            <v>0</v>
          </cell>
          <cell r="H148">
            <v>0</v>
          </cell>
          <cell r="I148">
            <v>122556346</v>
          </cell>
          <cell r="J148">
            <v>122556346</v>
          </cell>
        </row>
        <row r="149">
          <cell r="A149" t="str">
            <v>4-1-01-01-007  CONSUMOS DE GAS</v>
          </cell>
          <cell r="B149">
            <v>0</v>
          </cell>
          <cell r="C149">
            <v>2295056</v>
          </cell>
          <cell r="D149">
            <v>0</v>
          </cell>
          <cell r="E149">
            <v>2295056</v>
          </cell>
          <cell r="F149">
            <v>0</v>
          </cell>
          <cell r="G149">
            <v>0</v>
          </cell>
          <cell r="H149">
            <v>0</v>
          </cell>
          <cell r="I149">
            <v>2295056</v>
          </cell>
          <cell r="J149">
            <v>2295056</v>
          </cell>
        </row>
        <row r="150">
          <cell r="A150" t="str">
            <v>4-1-01-01-008  GASTOS COMUNES</v>
          </cell>
          <cell r="B150">
            <v>80993590</v>
          </cell>
          <cell r="C150">
            <v>162951452</v>
          </cell>
          <cell r="D150">
            <v>0</v>
          </cell>
          <cell r="E150">
            <v>81957862</v>
          </cell>
          <cell r="F150">
            <v>0</v>
          </cell>
          <cell r="G150">
            <v>0</v>
          </cell>
          <cell r="H150">
            <v>0</v>
          </cell>
          <cell r="I150">
            <v>81957862</v>
          </cell>
          <cell r="J150">
            <v>81957862</v>
          </cell>
        </row>
        <row r="151">
          <cell r="A151" t="str">
            <v>4-1-01-01-013  VARIOS</v>
          </cell>
          <cell r="B151">
            <v>4638</v>
          </cell>
          <cell r="C151">
            <v>40859</v>
          </cell>
          <cell r="D151">
            <v>0</v>
          </cell>
          <cell r="E151">
            <v>36221</v>
          </cell>
          <cell r="F151">
            <v>0</v>
          </cell>
          <cell r="G151">
            <v>0</v>
          </cell>
          <cell r="H151">
            <v>0</v>
          </cell>
          <cell r="I151">
            <v>36221</v>
          </cell>
          <cell r="J151">
            <v>36221</v>
          </cell>
        </row>
        <row r="152">
          <cell r="A152" t="str">
            <v>4-1-01-01-015  INGRESO VARIABLE FONDO PROMOCIÓN</v>
          </cell>
          <cell r="B152">
            <v>0</v>
          </cell>
          <cell r="C152">
            <v>1736931</v>
          </cell>
          <cell r="D152">
            <v>0</v>
          </cell>
          <cell r="E152">
            <v>1736931</v>
          </cell>
          <cell r="F152">
            <v>0</v>
          </cell>
          <cell r="G152">
            <v>0</v>
          </cell>
          <cell r="H152">
            <v>0</v>
          </cell>
          <cell r="I152">
            <v>1736931</v>
          </cell>
          <cell r="J152">
            <v>1736931</v>
          </cell>
        </row>
        <row r="153">
          <cell r="A153" t="str">
            <v>4-1-01-01-016  INGRESOS MULTAS INTERESES LOCATARIOS</v>
          </cell>
          <cell r="B153">
            <v>0</v>
          </cell>
          <cell r="C153">
            <v>2005156</v>
          </cell>
          <cell r="D153">
            <v>0</v>
          </cell>
          <cell r="E153">
            <v>2005156</v>
          </cell>
          <cell r="F153">
            <v>0</v>
          </cell>
          <cell r="G153">
            <v>0</v>
          </cell>
          <cell r="H153">
            <v>0</v>
          </cell>
          <cell r="I153">
            <v>2005156</v>
          </cell>
          <cell r="J153">
            <v>2005156</v>
          </cell>
        </row>
        <row r="154">
          <cell r="A154" t="str">
            <v>4-2-01-01-005  INTERESES DE PAGARE</v>
          </cell>
          <cell r="B154">
            <v>0</v>
          </cell>
          <cell r="C154">
            <v>6384705</v>
          </cell>
          <cell r="D154">
            <v>0</v>
          </cell>
          <cell r="E154">
            <v>6384705</v>
          </cell>
          <cell r="F154">
            <v>0</v>
          </cell>
          <cell r="G154">
            <v>0</v>
          </cell>
          <cell r="H154">
            <v>0</v>
          </cell>
          <cell r="I154">
            <v>6384705</v>
          </cell>
          <cell r="J154">
            <v>6384705</v>
          </cell>
        </row>
        <row r="155">
          <cell r="A155" t="str">
            <v>4-2-01-02-008  ARQUITEC Y HABILITACION  LOCALES</v>
          </cell>
          <cell r="B155">
            <v>0</v>
          </cell>
          <cell r="C155">
            <v>1574830</v>
          </cell>
          <cell r="D155">
            <v>0</v>
          </cell>
          <cell r="E155">
            <v>1574830</v>
          </cell>
          <cell r="F155">
            <v>0</v>
          </cell>
          <cell r="G155">
            <v>0</v>
          </cell>
          <cell r="H155">
            <v>0</v>
          </cell>
          <cell r="I155">
            <v>1574830</v>
          </cell>
          <cell r="J155">
            <v>1574830</v>
          </cell>
        </row>
        <row r="156">
          <cell r="A156" t="str">
            <v>5-1-01-01-001  SERVICIOS DE GUARDIAS</v>
          </cell>
          <cell r="B156">
            <v>65492874</v>
          </cell>
          <cell r="C156">
            <v>0</v>
          </cell>
          <cell r="D156">
            <v>65492874</v>
          </cell>
          <cell r="E156">
            <v>0</v>
          </cell>
          <cell r="F156">
            <v>0</v>
          </cell>
          <cell r="G156">
            <v>0</v>
          </cell>
          <cell r="H156">
            <v>65492874</v>
          </cell>
          <cell r="I156">
            <v>0</v>
          </cell>
          <cell r="J156">
            <v>-65492874</v>
          </cell>
        </row>
        <row r="157">
          <cell r="A157" t="str">
            <v>5-1-01-01-002  MANTENCION EXTINTORES</v>
          </cell>
          <cell r="B157">
            <v>58000</v>
          </cell>
          <cell r="C157">
            <v>0</v>
          </cell>
          <cell r="D157">
            <v>58000</v>
          </cell>
          <cell r="E157">
            <v>0</v>
          </cell>
          <cell r="F157">
            <v>0</v>
          </cell>
          <cell r="G157">
            <v>0</v>
          </cell>
          <cell r="H157">
            <v>58000</v>
          </cell>
          <cell r="I157">
            <v>0</v>
          </cell>
          <cell r="J157">
            <v>-58000</v>
          </cell>
        </row>
        <row r="158">
          <cell r="A158" t="str">
            <v>5-1-01-01-005  ARTICULOS DE SEGURIDAD</v>
          </cell>
          <cell r="B158">
            <v>294955</v>
          </cell>
          <cell r="C158">
            <v>0</v>
          </cell>
          <cell r="D158">
            <v>294955</v>
          </cell>
          <cell r="E158">
            <v>0</v>
          </cell>
          <cell r="F158">
            <v>0</v>
          </cell>
          <cell r="G158">
            <v>0</v>
          </cell>
          <cell r="H158">
            <v>294955</v>
          </cell>
          <cell r="I158">
            <v>0</v>
          </cell>
          <cell r="J158">
            <v>-294955</v>
          </cell>
        </row>
        <row r="159">
          <cell r="A159" t="str">
            <v>5-1-01-02-002  INSUMOS BANOS</v>
          </cell>
          <cell r="B159">
            <v>411020</v>
          </cell>
          <cell r="C159">
            <v>0</v>
          </cell>
          <cell r="D159">
            <v>411020</v>
          </cell>
          <cell r="E159">
            <v>0</v>
          </cell>
          <cell r="F159">
            <v>0</v>
          </cell>
          <cell r="G159">
            <v>0</v>
          </cell>
          <cell r="H159">
            <v>411020</v>
          </cell>
          <cell r="I159">
            <v>0</v>
          </cell>
          <cell r="J159">
            <v>-411020</v>
          </cell>
        </row>
        <row r="160">
          <cell r="A160" t="str">
            <v>5-1-01-02-003  RETIRO BASURA O ESCOMBROS</v>
          </cell>
          <cell r="B160">
            <v>1617994</v>
          </cell>
          <cell r="C160">
            <v>0</v>
          </cell>
          <cell r="D160">
            <v>1617994</v>
          </cell>
          <cell r="E160">
            <v>0</v>
          </cell>
          <cell r="F160">
            <v>0</v>
          </cell>
          <cell r="G160">
            <v>0</v>
          </cell>
          <cell r="H160">
            <v>1617994</v>
          </cell>
          <cell r="I160">
            <v>0</v>
          </cell>
          <cell r="J160">
            <v>-1617994</v>
          </cell>
        </row>
        <row r="161">
          <cell r="A161" t="str">
            <v>5-1-01-03-001  SERVICIOS DE JARDINES Y PAISAJISMO</v>
          </cell>
          <cell r="B161">
            <v>1794282</v>
          </cell>
          <cell r="C161">
            <v>0</v>
          </cell>
          <cell r="D161">
            <v>1794282</v>
          </cell>
          <cell r="E161">
            <v>0</v>
          </cell>
          <cell r="F161">
            <v>0</v>
          </cell>
          <cell r="G161">
            <v>0</v>
          </cell>
          <cell r="H161">
            <v>1794282</v>
          </cell>
          <cell r="I161">
            <v>0</v>
          </cell>
          <cell r="J161">
            <v>-1794282</v>
          </cell>
        </row>
        <row r="162">
          <cell r="A162" t="str">
            <v>5-1-01-03-003  CONTROL DE PLAGAS</v>
          </cell>
          <cell r="B162">
            <v>1510909</v>
          </cell>
          <cell r="C162">
            <v>0</v>
          </cell>
          <cell r="D162">
            <v>1510909</v>
          </cell>
          <cell r="E162">
            <v>0</v>
          </cell>
          <cell r="F162">
            <v>0</v>
          </cell>
          <cell r="G162">
            <v>0</v>
          </cell>
          <cell r="H162">
            <v>1510909</v>
          </cell>
          <cell r="I162">
            <v>0</v>
          </cell>
          <cell r="J162">
            <v>-1510909</v>
          </cell>
        </row>
        <row r="163">
          <cell r="A163" t="str">
            <v>5-1-01-04-001  MANTENCION TRANSPORTE VERTICAL</v>
          </cell>
          <cell r="B163">
            <v>2783699</v>
          </cell>
          <cell r="C163">
            <v>0</v>
          </cell>
          <cell r="D163">
            <v>2783699</v>
          </cell>
          <cell r="E163">
            <v>0</v>
          </cell>
          <cell r="F163">
            <v>0</v>
          </cell>
          <cell r="G163">
            <v>0</v>
          </cell>
          <cell r="H163">
            <v>2783699</v>
          </cell>
          <cell r="I163">
            <v>0</v>
          </cell>
          <cell r="J163">
            <v>-2783699</v>
          </cell>
        </row>
        <row r="164">
          <cell r="A164" t="str">
            <v>5-1-01-04-005  MANTENCION RED DE INCENDIO</v>
          </cell>
          <cell r="B164">
            <v>1304156</v>
          </cell>
          <cell r="C164">
            <v>0</v>
          </cell>
          <cell r="D164">
            <v>1304156</v>
          </cell>
          <cell r="E164">
            <v>0</v>
          </cell>
          <cell r="F164">
            <v>0</v>
          </cell>
          <cell r="G164">
            <v>0</v>
          </cell>
          <cell r="H164">
            <v>1304156</v>
          </cell>
          <cell r="I164">
            <v>0</v>
          </cell>
          <cell r="J164">
            <v>-1304156</v>
          </cell>
        </row>
        <row r="165">
          <cell r="A165" t="str">
            <v>5-1-01-04-007  MANTENCION CCTV</v>
          </cell>
          <cell r="B165">
            <v>2953728</v>
          </cell>
          <cell r="C165">
            <v>0</v>
          </cell>
          <cell r="D165">
            <v>2953728</v>
          </cell>
          <cell r="E165">
            <v>0</v>
          </cell>
          <cell r="F165">
            <v>0</v>
          </cell>
          <cell r="G165">
            <v>0</v>
          </cell>
          <cell r="H165">
            <v>2953728</v>
          </cell>
          <cell r="I165">
            <v>0</v>
          </cell>
          <cell r="J165">
            <v>-2953728</v>
          </cell>
        </row>
        <row r="166">
          <cell r="A166" t="str">
            <v>5-1-01-04-008  MANTENCION CLIMA</v>
          </cell>
          <cell r="B166">
            <v>480000</v>
          </cell>
          <cell r="C166">
            <v>0</v>
          </cell>
          <cell r="D166">
            <v>480000</v>
          </cell>
          <cell r="E166">
            <v>0</v>
          </cell>
          <cell r="F166">
            <v>0</v>
          </cell>
          <cell r="G166">
            <v>0</v>
          </cell>
          <cell r="H166">
            <v>480000</v>
          </cell>
          <cell r="I166">
            <v>0</v>
          </cell>
          <cell r="J166">
            <v>-480000</v>
          </cell>
        </row>
        <row r="167">
          <cell r="A167" t="str">
            <v>5-1-01-04-009  MANTENCION ESTANQUES AGUA POTABLE</v>
          </cell>
          <cell r="B167">
            <v>840000</v>
          </cell>
          <cell r="C167">
            <v>0</v>
          </cell>
          <cell r="D167">
            <v>840000</v>
          </cell>
          <cell r="E167">
            <v>0</v>
          </cell>
          <cell r="F167">
            <v>0</v>
          </cell>
          <cell r="G167">
            <v>0</v>
          </cell>
          <cell r="H167">
            <v>840000</v>
          </cell>
          <cell r="I167">
            <v>0</v>
          </cell>
          <cell r="J167">
            <v>-840000</v>
          </cell>
        </row>
        <row r="168">
          <cell r="A168" t="str">
            <v>5-1-01-04-010  MANTENCION ALCANTARILLADOS</v>
          </cell>
          <cell r="B168">
            <v>177898</v>
          </cell>
          <cell r="C168">
            <v>0</v>
          </cell>
          <cell r="D168">
            <v>177898</v>
          </cell>
          <cell r="E168">
            <v>0</v>
          </cell>
          <cell r="F168">
            <v>0</v>
          </cell>
          <cell r="G168">
            <v>0</v>
          </cell>
          <cell r="H168">
            <v>177898</v>
          </cell>
          <cell r="I168">
            <v>0</v>
          </cell>
          <cell r="J168">
            <v>-177898</v>
          </cell>
        </row>
        <row r="169">
          <cell r="A169" t="str">
            <v>5-1-01-04-011  MANTENCION GENERAL</v>
          </cell>
          <cell r="B169">
            <v>14541217</v>
          </cell>
          <cell r="C169">
            <v>70000</v>
          </cell>
          <cell r="D169">
            <v>14471217</v>
          </cell>
          <cell r="E169">
            <v>0</v>
          </cell>
          <cell r="F169">
            <v>0</v>
          </cell>
          <cell r="G169">
            <v>0</v>
          </cell>
          <cell r="H169">
            <v>14471217</v>
          </cell>
          <cell r="I169">
            <v>0</v>
          </cell>
          <cell r="J169">
            <v>-14471217</v>
          </cell>
        </row>
        <row r="170">
          <cell r="A170" t="str">
            <v>5-1-01-04-013  MANTENCION ELECTRICA</v>
          </cell>
          <cell r="B170">
            <v>552000</v>
          </cell>
          <cell r="C170">
            <v>0</v>
          </cell>
          <cell r="D170">
            <v>552000</v>
          </cell>
          <cell r="E170">
            <v>0</v>
          </cell>
          <cell r="F170">
            <v>0</v>
          </cell>
          <cell r="G170">
            <v>0</v>
          </cell>
          <cell r="H170">
            <v>552000</v>
          </cell>
          <cell r="I170">
            <v>0</v>
          </cell>
          <cell r="J170">
            <v>-552000</v>
          </cell>
        </row>
        <row r="171">
          <cell r="A171" t="str">
            <v>5-1-01-04-014  MANTENCION VEHICULOS</v>
          </cell>
          <cell r="B171">
            <v>186750</v>
          </cell>
          <cell r="C171">
            <v>0</v>
          </cell>
          <cell r="D171">
            <v>186750</v>
          </cell>
          <cell r="E171">
            <v>0</v>
          </cell>
          <cell r="F171">
            <v>0</v>
          </cell>
          <cell r="G171">
            <v>0</v>
          </cell>
          <cell r="H171">
            <v>186750</v>
          </cell>
          <cell r="I171">
            <v>0</v>
          </cell>
          <cell r="J171">
            <v>-186750</v>
          </cell>
        </row>
        <row r="172">
          <cell r="A172" t="str">
            <v>5-1-01-04-018  MANTENCION ELECTRICA CORRECTIVA</v>
          </cell>
          <cell r="B172">
            <v>21161</v>
          </cell>
          <cell r="C172">
            <v>0</v>
          </cell>
          <cell r="D172">
            <v>21161</v>
          </cell>
          <cell r="E172">
            <v>0</v>
          </cell>
          <cell r="F172">
            <v>0</v>
          </cell>
          <cell r="G172">
            <v>0</v>
          </cell>
          <cell r="H172">
            <v>21161</v>
          </cell>
          <cell r="I172">
            <v>0</v>
          </cell>
          <cell r="J172">
            <v>-21161</v>
          </cell>
        </row>
        <row r="173">
          <cell r="A173" t="str">
            <v>5-1-01-04-021  MANTENCION PUERTAS AUTOMATICAS CORRECTIVA</v>
          </cell>
          <cell r="B173">
            <v>1191213</v>
          </cell>
          <cell r="C173">
            <v>0</v>
          </cell>
          <cell r="D173">
            <v>1191213</v>
          </cell>
          <cell r="E173">
            <v>0</v>
          </cell>
          <cell r="F173">
            <v>0</v>
          </cell>
          <cell r="G173">
            <v>0</v>
          </cell>
          <cell r="H173">
            <v>1191213</v>
          </cell>
          <cell r="I173">
            <v>0</v>
          </cell>
          <cell r="J173">
            <v>-1191213</v>
          </cell>
        </row>
        <row r="174">
          <cell r="A174" t="str">
            <v>5-1-01-05-005  INSUMOS DE ASEO</v>
          </cell>
          <cell r="B174">
            <v>93848</v>
          </cell>
          <cell r="C174">
            <v>0</v>
          </cell>
          <cell r="D174">
            <v>93848</v>
          </cell>
          <cell r="E174">
            <v>0</v>
          </cell>
          <cell r="F174">
            <v>0</v>
          </cell>
          <cell r="G174">
            <v>0</v>
          </cell>
          <cell r="H174">
            <v>93848</v>
          </cell>
          <cell r="I174">
            <v>0</v>
          </cell>
          <cell r="J174">
            <v>-93848</v>
          </cell>
        </row>
        <row r="175">
          <cell r="A175" t="str">
            <v>5-1-01-05-006  COMPRAS PETROLEO GAS BENCINA</v>
          </cell>
          <cell r="B175">
            <v>2669609</v>
          </cell>
          <cell r="C175">
            <v>0</v>
          </cell>
          <cell r="D175">
            <v>2669609</v>
          </cell>
          <cell r="E175">
            <v>0</v>
          </cell>
          <cell r="F175">
            <v>0</v>
          </cell>
          <cell r="G175">
            <v>0</v>
          </cell>
          <cell r="H175">
            <v>2669609</v>
          </cell>
          <cell r="I175">
            <v>0</v>
          </cell>
          <cell r="J175">
            <v>-2669609</v>
          </cell>
        </row>
        <row r="176">
          <cell r="A176" t="str">
            <v>5-1-01-06-001  CONSUMO AGUA COMUN</v>
          </cell>
          <cell r="B176">
            <v>10149260</v>
          </cell>
          <cell r="C176">
            <v>1145467</v>
          </cell>
          <cell r="D176">
            <v>9003793</v>
          </cell>
          <cell r="E176">
            <v>0</v>
          </cell>
          <cell r="F176">
            <v>0</v>
          </cell>
          <cell r="G176">
            <v>0</v>
          </cell>
          <cell r="H176">
            <v>9003793</v>
          </cell>
          <cell r="I176">
            <v>0</v>
          </cell>
          <cell r="J176">
            <v>-9003793</v>
          </cell>
        </row>
        <row r="177">
          <cell r="A177" t="str">
            <v>5-1-01-06-002  CONSUMO ENERGIA COMUN</v>
          </cell>
          <cell r="B177">
            <v>141241463</v>
          </cell>
          <cell r="C177">
            <v>546271</v>
          </cell>
          <cell r="D177">
            <v>140695192</v>
          </cell>
          <cell r="E177">
            <v>0</v>
          </cell>
          <cell r="F177">
            <v>0</v>
          </cell>
          <cell r="G177">
            <v>0</v>
          </cell>
          <cell r="H177">
            <v>140695192</v>
          </cell>
          <cell r="I177">
            <v>0</v>
          </cell>
          <cell r="J177">
            <v>-140695192</v>
          </cell>
        </row>
        <row r="178">
          <cell r="A178" t="str">
            <v>5-1-01-06-003  GASTO COMUN PROPIO</v>
          </cell>
          <cell r="B178">
            <v>717892</v>
          </cell>
          <cell r="C178">
            <v>0</v>
          </cell>
          <cell r="D178">
            <v>717892</v>
          </cell>
          <cell r="E178">
            <v>0</v>
          </cell>
          <cell r="F178">
            <v>0</v>
          </cell>
          <cell r="G178">
            <v>0</v>
          </cell>
          <cell r="H178">
            <v>717892</v>
          </cell>
          <cell r="I178">
            <v>0</v>
          </cell>
          <cell r="J178">
            <v>-717892</v>
          </cell>
        </row>
        <row r="179">
          <cell r="A179" t="str">
            <v>5-1-01-06-004  SERVICIOS INFORMATICOS DE SISTEMAS</v>
          </cell>
          <cell r="B179">
            <v>1743622</v>
          </cell>
          <cell r="C179">
            <v>0</v>
          </cell>
          <cell r="D179">
            <v>1743622</v>
          </cell>
          <cell r="E179">
            <v>0</v>
          </cell>
          <cell r="F179">
            <v>0</v>
          </cell>
          <cell r="G179">
            <v>0</v>
          </cell>
          <cell r="H179">
            <v>1743622</v>
          </cell>
          <cell r="I179">
            <v>0</v>
          </cell>
          <cell r="J179">
            <v>-1743622</v>
          </cell>
        </row>
        <row r="180">
          <cell r="A180" t="str">
            <v>5-1-01-07-001  TELEFONO</v>
          </cell>
          <cell r="B180">
            <v>275175</v>
          </cell>
          <cell r="C180">
            <v>0</v>
          </cell>
          <cell r="D180">
            <v>275175</v>
          </cell>
          <cell r="E180">
            <v>0</v>
          </cell>
          <cell r="F180">
            <v>0</v>
          </cell>
          <cell r="G180">
            <v>0</v>
          </cell>
          <cell r="H180">
            <v>275175</v>
          </cell>
          <cell r="I180">
            <v>0</v>
          </cell>
          <cell r="J180">
            <v>-275175</v>
          </cell>
        </row>
        <row r="181">
          <cell r="A181" t="str">
            <v>5-1-01-07-002  INTERNET</v>
          </cell>
          <cell r="B181">
            <v>2002166</v>
          </cell>
          <cell r="C181">
            <v>0</v>
          </cell>
          <cell r="D181">
            <v>2002166</v>
          </cell>
          <cell r="E181">
            <v>0</v>
          </cell>
          <cell r="F181">
            <v>0</v>
          </cell>
          <cell r="G181">
            <v>0</v>
          </cell>
          <cell r="H181">
            <v>2002166</v>
          </cell>
          <cell r="I181">
            <v>0</v>
          </cell>
          <cell r="J181">
            <v>-2002166</v>
          </cell>
        </row>
        <row r="182">
          <cell r="A182" t="str">
            <v>5-1-01-07-005  ARTICULOS DE OFICINA</v>
          </cell>
          <cell r="B182">
            <v>1968501</v>
          </cell>
          <cell r="C182">
            <v>20531</v>
          </cell>
          <cell r="D182">
            <v>1947970</v>
          </cell>
          <cell r="E182">
            <v>0</v>
          </cell>
          <cell r="F182">
            <v>0</v>
          </cell>
          <cell r="G182">
            <v>0</v>
          </cell>
          <cell r="H182">
            <v>1947970</v>
          </cell>
          <cell r="I182">
            <v>0</v>
          </cell>
          <cell r="J182">
            <v>-1947970</v>
          </cell>
        </row>
        <row r="183">
          <cell r="A183" t="str">
            <v>5-1-01-07-006  GASTO FLETES</v>
          </cell>
          <cell r="B183">
            <v>28218</v>
          </cell>
          <cell r="C183">
            <v>0</v>
          </cell>
          <cell r="D183">
            <v>28218</v>
          </cell>
          <cell r="E183">
            <v>0</v>
          </cell>
          <cell r="F183">
            <v>0</v>
          </cell>
          <cell r="G183">
            <v>0</v>
          </cell>
          <cell r="H183">
            <v>28218</v>
          </cell>
          <cell r="I183">
            <v>0</v>
          </cell>
          <cell r="J183">
            <v>-28218</v>
          </cell>
        </row>
        <row r="184">
          <cell r="A184" t="str">
            <v>5-1-01-10-003  REMUNERACIONES TENS Y RRHH</v>
          </cell>
          <cell r="B184">
            <v>4687564</v>
          </cell>
          <cell r="C184">
            <v>0</v>
          </cell>
          <cell r="D184">
            <v>4687564</v>
          </cell>
          <cell r="E184">
            <v>0</v>
          </cell>
          <cell r="F184">
            <v>0</v>
          </cell>
          <cell r="G184">
            <v>0</v>
          </cell>
          <cell r="H184">
            <v>4687564</v>
          </cell>
          <cell r="I184">
            <v>0</v>
          </cell>
          <cell r="J184">
            <v>-4687564</v>
          </cell>
        </row>
        <row r="185">
          <cell r="A185" t="str">
            <v>5-1-01-11-001  HABILITACIÓN LOCALES OUTLET FLORIDA</v>
          </cell>
          <cell r="B185">
            <v>17601140</v>
          </cell>
          <cell r="C185">
            <v>8111000</v>
          </cell>
          <cell r="D185">
            <v>9490140</v>
          </cell>
          <cell r="E185">
            <v>0</v>
          </cell>
          <cell r="F185">
            <v>0</v>
          </cell>
          <cell r="G185">
            <v>0</v>
          </cell>
          <cell r="H185">
            <v>9490140</v>
          </cell>
          <cell r="I185">
            <v>0</v>
          </cell>
          <cell r="J185">
            <v>-9490140</v>
          </cell>
        </row>
        <row r="186">
          <cell r="A186" t="str">
            <v>5-1-03-01-004  PROMOCIONES VARIAS</v>
          </cell>
          <cell r="B186">
            <v>954291</v>
          </cell>
          <cell r="C186">
            <v>0</v>
          </cell>
          <cell r="D186">
            <v>954291</v>
          </cell>
          <cell r="E186">
            <v>0</v>
          </cell>
          <cell r="F186">
            <v>0</v>
          </cell>
          <cell r="G186">
            <v>0</v>
          </cell>
          <cell r="H186">
            <v>954291</v>
          </cell>
          <cell r="I186">
            <v>0</v>
          </cell>
          <cell r="J186">
            <v>-954291</v>
          </cell>
        </row>
        <row r="187">
          <cell r="A187" t="str">
            <v>5-2-01-01-001  REMUNERACIONES BRUTAS</v>
          </cell>
          <cell r="B187">
            <v>142096765</v>
          </cell>
          <cell r="C187">
            <v>0</v>
          </cell>
          <cell r="D187">
            <v>142096765</v>
          </cell>
          <cell r="E187">
            <v>0</v>
          </cell>
          <cell r="F187">
            <v>0</v>
          </cell>
          <cell r="G187">
            <v>0</v>
          </cell>
          <cell r="H187">
            <v>142096765</v>
          </cell>
          <cell r="I187">
            <v>0</v>
          </cell>
          <cell r="J187">
            <v>-142096765</v>
          </cell>
        </row>
        <row r="188">
          <cell r="A188" t="str">
            <v>5-2-01-01-002  APORTES PATRONALES</v>
          </cell>
          <cell r="B188">
            <v>2176505</v>
          </cell>
          <cell r="C188">
            <v>0</v>
          </cell>
          <cell r="D188">
            <v>2176505</v>
          </cell>
          <cell r="E188">
            <v>0</v>
          </cell>
          <cell r="F188">
            <v>0</v>
          </cell>
          <cell r="G188">
            <v>0</v>
          </cell>
          <cell r="H188">
            <v>2176505</v>
          </cell>
          <cell r="I188">
            <v>0</v>
          </cell>
          <cell r="J188">
            <v>-2176505</v>
          </cell>
        </row>
        <row r="189">
          <cell r="A189" t="str">
            <v>5-2-01-01-004  GRATIFICACIONES</v>
          </cell>
          <cell r="B189">
            <v>4481427</v>
          </cell>
          <cell r="C189">
            <v>0</v>
          </cell>
          <cell r="D189">
            <v>4481427</v>
          </cell>
          <cell r="E189">
            <v>0</v>
          </cell>
          <cell r="F189">
            <v>0</v>
          </cell>
          <cell r="G189">
            <v>0</v>
          </cell>
          <cell r="H189">
            <v>4481427</v>
          </cell>
          <cell r="I189">
            <v>0</v>
          </cell>
          <cell r="J189">
            <v>-4481427</v>
          </cell>
        </row>
        <row r="190">
          <cell r="A190" t="str">
            <v>5-2-01-01-006  OTROS NO IMPONIBLES</v>
          </cell>
          <cell r="B190">
            <v>4351132</v>
          </cell>
          <cell r="C190">
            <v>0</v>
          </cell>
          <cell r="D190">
            <v>4351132</v>
          </cell>
          <cell r="E190">
            <v>0</v>
          </cell>
          <cell r="F190">
            <v>0</v>
          </cell>
          <cell r="G190">
            <v>0</v>
          </cell>
          <cell r="H190">
            <v>4351132</v>
          </cell>
          <cell r="I190">
            <v>0</v>
          </cell>
          <cell r="J190">
            <v>-4351132</v>
          </cell>
        </row>
        <row r="191">
          <cell r="A191" t="str">
            <v>5-2-01-01-008  SEGURO COMPLEMENTARIO SALUD</v>
          </cell>
          <cell r="B191">
            <v>1548473</v>
          </cell>
          <cell r="C191">
            <v>293843</v>
          </cell>
          <cell r="D191">
            <v>1254630</v>
          </cell>
          <cell r="E191">
            <v>0</v>
          </cell>
          <cell r="F191">
            <v>0</v>
          </cell>
          <cell r="G191">
            <v>0</v>
          </cell>
          <cell r="H191">
            <v>1254630</v>
          </cell>
          <cell r="I191">
            <v>0</v>
          </cell>
          <cell r="J191">
            <v>-1254630</v>
          </cell>
        </row>
        <row r="192">
          <cell r="A192" t="str">
            <v>5-2-01-02-002  HONORARIOS SERVICIOS LEGALES</v>
          </cell>
          <cell r="B192">
            <v>560202</v>
          </cell>
          <cell r="C192">
            <v>0</v>
          </cell>
          <cell r="D192">
            <v>560202</v>
          </cell>
          <cell r="E192">
            <v>0</v>
          </cell>
          <cell r="F192">
            <v>0</v>
          </cell>
          <cell r="G192">
            <v>0</v>
          </cell>
          <cell r="H192">
            <v>560202</v>
          </cell>
          <cell r="I192">
            <v>0</v>
          </cell>
          <cell r="J192">
            <v>-560202</v>
          </cell>
        </row>
        <row r="193">
          <cell r="A193" t="str">
            <v>5-2-01-02-003  ASESORIAS Y CONSULTORIAS</v>
          </cell>
          <cell r="B193">
            <v>25914138</v>
          </cell>
          <cell r="C193">
            <v>0</v>
          </cell>
          <cell r="D193">
            <v>25914138</v>
          </cell>
          <cell r="E193">
            <v>0</v>
          </cell>
          <cell r="F193">
            <v>0</v>
          </cell>
          <cell r="G193">
            <v>0</v>
          </cell>
          <cell r="H193">
            <v>25914138</v>
          </cell>
          <cell r="I193">
            <v>0</v>
          </cell>
          <cell r="J193">
            <v>-25914138</v>
          </cell>
        </row>
        <row r="194">
          <cell r="A194" t="str">
            <v>5-2-01-02-004  SERVICIOS DE ASEO</v>
          </cell>
          <cell r="B194">
            <v>21093590</v>
          </cell>
          <cell r="C194">
            <v>0</v>
          </cell>
          <cell r="D194">
            <v>21093590</v>
          </cell>
          <cell r="E194">
            <v>0</v>
          </cell>
          <cell r="F194">
            <v>0</v>
          </cell>
          <cell r="G194">
            <v>0</v>
          </cell>
          <cell r="H194">
            <v>21093590</v>
          </cell>
          <cell r="I194">
            <v>0</v>
          </cell>
          <cell r="J194">
            <v>-21093590</v>
          </cell>
        </row>
        <row r="195">
          <cell r="A195" t="str">
            <v>5-2-01-02-005  SERVICIOS DE ARQUITECTURA</v>
          </cell>
          <cell r="B195">
            <v>3759838</v>
          </cell>
          <cell r="C195">
            <v>0</v>
          </cell>
          <cell r="D195">
            <v>3759838</v>
          </cell>
          <cell r="E195">
            <v>0</v>
          </cell>
          <cell r="F195">
            <v>0</v>
          </cell>
          <cell r="G195">
            <v>0</v>
          </cell>
          <cell r="H195">
            <v>3759838</v>
          </cell>
          <cell r="I195">
            <v>0</v>
          </cell>
          <cell r="J195">
            <v>-3759838</v>
          </cell>
        </row>
        <row r="196">
          <cell r="A196" t="str">
            <v>5-2-01-02-007  SERVICIOS DE PUBLICIDAD Y MARKETING</v>
          </cell>
          <cell r="B196">
            <v>17992531</v>
          </cell>
          <cell r="C196">
            <v>1955001</v>
          </cell>
          <cell r="D196">
            <v>16037530</v>
          </cell>
          <cell r="E196">
            <v>0</v>
          </cell>
          <cell r="F196">
            <v>0</v>
          </cell>
          <cell r="G196">
            <v>0</v>
          </cell>
          <cell r="H196">
            <v>16037530</v>
          </cell>
          <cell r="I196">
            <v>0</v>
          </cell>
          <cell r="J196">
            <v>-16037530</v>
          </cell>
        </row>
        <row r="197">
          <cell r="A197" t="str">
            <v>5-2-01-02-011  PAGOS LEGALES Y DEMANDAS</v>
          </cell>
          <cell r="B197">
            <v>82310056</v>
          </cell>
          <cell r="C197">
            <v>1008906</v>
          </cell>
          <cell r="D197">
            <v>81301150</v>
          </cell>
          <cell r="E197">
            <v>0</v>
          </cell>
          <cell r="F197">
            <v>0</v>
          </cell>
          <cell r="G197">
            <v>0</v>
          </cell>
          <cell r="H197">
            <v>81301150</v>
          </cell>
          <cell r="I197">
            <v>0</v>
          </cell>
          <cell r="J197">
            <v>-81301150</v>
          </cell>
        </row>
        <row r="198">
          <cell r="A198" t="str">
            <v>5-2-01-03-002  GASTOS NOTARIALES</v>
          </cell>
          <cell r="B198">
            <v>18800</v>
          </cell>
          <cell r="C198">
            <v>0</v>
          </cell>
          <cell r="D198">
            <v>18800</v>
          </cell>
          <cell r="E198">
            <v>0</v>
          </cell>
          <cell r="F198">
            <v>0</v>
          </cell>
          <cell r="G198">
            <v>0</v>
          </cell>
          <cell r="H198">
            <v>18800</v>
          </cell>
          <cell r="I198">
            <v>0</v>
          </cell>
          <cell r="J198">
            <v>-18800</v>
          </cell>
        </row>
        <row r="199">
          <cell r="A199" t="str">
            <v>5-2-01-03-003  PATENTES</v>
          </cell>
          <cell r="B199">
            <v>27520</v>
          </cell>
          <cell r="C199">
            <v>0</v>
          </cell>
          <cell r="D199">
            <v>27520</v>
          </cell>
          <cell r="E199">
            <v>0</v>
          </cell>
          <cell r="F199">
            <v>0</v>
          </cell>
          <cell r="G199">
            <v>0</v>
          </cell>
          <cell r="H199">
            <v>27520</v>
          </cell>
          <cell r="I199">
            <v>0</v>
          </cell>
          <cell r="J199">
            <v>-27520</v>
          </cell>
        </row>
        <row r="200">
          <cell r="A200" t="str">
            <v>5-2-01-03-004  GASTO IVA PROPORCIONAL</v>
          </cell>
          <cell r="B200">
            <v>11674872</v>
          </cell>
          <cell r="C200">
            <v>0</v>
          </cell>
          <cell r="D200">
            <v>11674872</v>
          </cell>
          <cell r="E200">
            <v>0</v>
          </cell>
          <cell r="F200">
            <v>0</v>
          </cell>
          <cell r="G200">
            <v>0</v>
          </cell>
          <cell r="H200">
            <v>11674872</v>
          </cell>
          <cell r="I200">
            <v>0</v>
          </cell>
          <cell r="J200">
            <v>-11674872</v>
          </cell>
        </row>
        <row r="201">
          <cell r="A201" t="str">
            <v>5-2-01-03-006  GASTOS GENERALES</v>
          </cell>
          <cell r="B201">
            <v>4724851</v>
          </cell>
          <cell r="C201">
            <v>386343</v>
          </cell>
          <cell r="D201">
            <v>4338508</v>
          </cell>
          <cell r="E201">
            <v>0</v>
          </cell>
          <cell r="F201">
            <v>0</v>
          </cell>
          <cell r="G201">
            <v>0</v>
          </cell>
          <cell r="H201">
            <v>4338508</v>
          </cell>
          <cell r="I201">
            <v>0</v>
          </cell>
          <cell r="J201">
            <v>-4338508</v>
          </cell>
        </row>
        <row r="202">
          <cell r="A202" t="str">
            <v>5-2-01-05-001  GASTOS DE REPRESENTACION</v>
          </cell>
          <cell r="B202">
            <v>4643576</v>
          </cell>
          <cell r="C202">
            <v>304836</v>
          </cell>
          <cell r="D202">
            <v>4338740</v>
          </cell>
          <cell r="E202">
            <v>0</v>
          </cell>
          <cell r="F202">
            <v>0</v>
          </cell>
          <cell r="G202">
            <v>0</v>
          </cell>
          <cell r="H202">
            <v>4338740</v>
          </cell>
          <cell r="I202">
            <v>0</v>
          </cell>
          <cell r="J202">
            <v>-4338740</v>
          </cell>
        </row>
        <row r="203">
          <cell r="A203" t="str">
            <v>5-2-01-06-001  ARRIENDOS</v>
          </cell>
          <cell r="B203">
            <v>4099155</v>
          </cell>
          <cell r="C203">
            <v>0</v>
          </cell>
          <cell r="D203">
            <v>4099155</v>
          </cell>
          <cell r="E203">
            <v>0</v>
          </cell>
          <cell r="F203">
            <v>0</v>
          </cell>
          <cell r="G203">
            <v>0</v>
          </cell>
          <cell r="H203">
            <v>4099155</v>
          </cell>
          <cell r="I203">
            <v>0</v>
          </cell>
          <cell r="J203">
            <v>-4099155</v>
          </cell>
        </row>
        <row r="204">
          <cell r="A204" t="str">
            <v>5-2-01-07-001  CONTRIBUCIONES</v>
          </cell>
          <cell r="B204">
            <v>3629485</v>
          </cell>
          <cell r="C204">
            <v>0</v>
          </cell>
          <cell r="D204">
            <v>3629485</v>
          </cell>
          <cell r="E204">
            <v>0</v>
          </cell>
          <cell r="F204">
            <v>0</v>
          </cell>
          <cell r="G204">
            <v>0</v>
          </cell>
          <cell r="H204">
            <v>3629485</v>
          </cell>
          <cell r="I204">
            <v>0</v>
          </cell>
          <cell r="J204">
            <v>-3629485</v>
          </cell>
        </row>
        <row r="205">
          <cell r="A205" t="str">
            <v>5-3-01-01-001  INTERESES LEASING</v>
          </cell>
          <cell r="B205">
            <v>68564406</v>
          </cell>
          <cell r="C205">
            <v>2</v>
          </cell>
          <cell r="D205">
            <v>68564404</v>
          </cell>
          <cell r="E205">
            <v>0</v>
          </cell>
          <cell r="F205">
            <v>0</v>
          </cell>
          <cell r="G205">
            <v>0</v>
          </cell>
          <cell r="H205">
            <v>68564404</v>
          </cell>
          <cell r="I205">
            <v>0</v>
          </cell>
          <cell r="J205">
            <v>-68564404</v>
          </cell>
        </row>
        <row r="206">
          <cell r="A206" t="str">
            <v>5-3-01-01-002  GASTOS BANCARIOS</v>
          </cell>
          <cell r="B206">
            <v>2620398</v>
          </cell>
          <cell r="C206">
            <v>987174</v>
          </cell>
          <cell r="D206">
            <v>1633224</v>
          </cell>
          <cell r="E206">
            <v>0</v>
          </cell>
          <cell r="F206">
            <v>0</v>
          </cell>
          <cell r="G206">
            <v>0</v>
          </cell>
          <cell r="H206">
            <v>1633224</v>
          </cell>
          <cell r="I206">
            <v>0</v>
          </cell>
          <cell r="J206">
            <v>-1633224</v>
          </cell>
        </row>
        <row r="207">
          <cell r="A207" t="str">
            <v>5-3-01-01-003  MULTAS INTERESES Y REAJUSTES</v>
          </cell>
          <cell r="B207">
            <v>1561556</v>
          </cell>
          <cell r="C207">
            <v>0</v>
          </cell>
          <cell r="D207">
            <v>1561556</v>
          </cell>
          <cell r="E207">
            <v>0</v>
          </cell>
          <cell r="F207">
            <v>0</v>
          </cell>
          <cell r="G207">
            <v>0</v>
          </cell>
          <cell r="H207">
            <v>1561556</v>
          </cell>
          <cell r="I207">
            <v>0</v>
          </cell>
          <cell r="J207">
            <v>-1561556</v>
          </cell>
        </row>
        <row r="208">
          <cell r="A208" t="str">
            <v>5-3-01-01-005  GASTOS E INTERESES COMERCIALES</v>
          </cell>
          <cell r="B208">
            <v>6919562</v>
          </cell>
          <cell r="C208">
            <v>0</v>
          </cell>
          <cell r="D208">
            <v>6919562</v>
          </cell>
          <cell r="E208">
            <v>0</v>
          </cell>
          <cell r="F208">
            <v>0</v>
          </cell>
          <cell r="G208">
            <v>0</v>
          </cell>
          <cell r="H208">
            <v>6919562</v>
          </cell>
          <cell r="I208">
            <v>0</v>
          </cell>
          <cell r="J208">
            <v>-6919562</v>
          </cell>
        </row>
        <row r="209">
          <cell r="A209" t="str">
            <v>5-3-01-02-003  OTROS EGRESOS</v>
          </cell>
          <cell r="B209">
            <v>0</v>
          </cell>
          <cell r="C209">
            <v>98678</v>
          </cell>
          <cell r="D209">
            <v>0</v>
          </cell>
          <cell r="E209">
            <v>98678</v>
          </cell>
          <cell r="F209">
            <v>0</v>
          </cell>
          <cell r="G209">
            <v>0</v>
          </cell>
          <cell r="H209">
            <v>0</v>
          </cell>
          <cell r="I209">
            <v>98678</v>
          </cell>
          <cell r="J209">
            <v>98678</v>
          </cell>
        </row>
        <row r="210">
          <cell r="A210" t="str">
            <v>5-3-01-02-006  GANANCIA (PERDIDA) SWAP</v>
          </cell>
          <cell r="B210">
            <v>114304990</v>
          </cell>
          <cell r="C210">
            <v>0</v>
          </cell>
          <cell r="D210">
            <v>114304990</v>
          </cell>
          <cell r="E210">
            <v>0</v>
          </cell>
          <cell r="F210">
            <v>0</v>
          </cell>
          <cell r="G210">
            <v>0</v>
          </cell>
          <cell r="H210">
            <v>114304990</v>
          </cell>
          <cell r="I210">
            <v>0</v>
          </cell>
          <cell r="J210">
            <v>-114304990</v>
          </cell>
        </row>
        <row r="211">
          <cell r="A211" t="str">
            <v>5-3-01-02-007  MAYOR / MENOR VALOR DE INVERSIONES</v>
          </cell>
          <cell r="B211">
            <v>80964118</v>
          </cell>
          <cell r="C211">
            <v>31947</v>
          </cell>
          <cell r="D211">
            <v>80932171</v>
          </cell>
          <cell r="E211">
            <v>0</v>
          </cell>
          <cell r="F211">
            <v>0</v>
          </cell>
          <cell r="G211">
            <v>0</v>
          </cell>
          <cell r="H211">
            <v>80932171</v>
          </cell>
          <cell r="I211">
            <v>0</v>
          </cell>
          <cell r="J211">
            <v>-80932171</v>
          </cell>
        </row>
        <row r="212">
          <cell r="A212" t="str">
            <v>5-3-01-02-020  COSTO MANDATO INVERSIONES NUEVA SANTA FIDELMIRA LIMITADA</v>
          </cell>
          <cell r="B212">
            <v>37718765</v>
          </cell>
          <cell r="C212">
            <v>0</v>
          </cell>
          <cell r="D212">
            <v>37718765</v>
          </cell>
          <cell r="E212">
            <v>0</v>
          </cell>
          <cell r="F212">
            <v>0</v>
          </cell>
          <cell r="G212">
            <v>0</v>
          </cell>
          <cell r="H212">
            <v>37718765</v>
          </cell>
          <cell r="I212">
            <v>0</v>
          </cell>
          <cell r="J212">
            <v>-37718765</v>
          </cell>
        </row>
        <row r="213">
          <cell r="A213" t="str">
            <v>5-3-01-03-004  CORRECCION REMANENTE CREDITO FISCAL</v>
          </cell>
          <cell r="B213">
            <v>533350</v>
          </cell>
          <cell r="C213">
            <v>0</v>
          </cell>
          <cell r="D213">
            <v>533350</v>
          </cell>
          <cell r="E213">
            <v>0</v>
          </cell>
          <cell r="F213">
            <v>0</v>
          </cell>
          <cell r="G213">
            <v>0</v>
          </cell>
          <cell r="H213">
            <v>533350</v>
          </cell>
          <cell r="I213">
            <v>0</v>
          </cell>
          <cell r="J213">
            <v>-533350</v>
          </cell>
        </row>
        <row r="214">
          <cell r="A214" t="str">
            <v>5-3-01-03-006  CORRECCION EN UF</v>
          </cell>
          <cell r="B214">
            <v>14608940</v>
          </cell>
          <cell r="C214">
            <v>252017933</v>
          </cell>
          <cell r="D214">
            <v>0</v>
          </cell>
          <cell r="E214">
            <v>237408993</v>
          </cell>
          <cell r="F214">
            <v>0</v>
          </cell>
          <cell r="G214">
            <v>0</v>
          </cell>
          <cell r="H214">
            <v>0</v>
          </cell>
          <cell r="I214">
            <v>237408993</v>
          </cell>
          <cell r="J214">
            <v>237408993</v>
          </cell>
        </row>
        <row r="215">
          <cell r="A215" t="str">
            <v>5-3-01-03-011  VARIACION USD</v>
          </cell>
          <cell r="B215">
            <v>108687180</v>
          </cell>
          <cell r="C215">
            <v>109978511</v>
          </cell>
          <cell r="D215">
            <v>0</v>
          </cell>
          <cell r="E215">
            <v>1291331</v>
          </cell>
          <cell r="F215">
            <v>0</v>
          </cell>
          <cell r="G215">
            <v>0</v>
          </cell>
          <cell r="H215">
            <v>0</v>
          </cell>
          <cell r="I215">
            <v>1291331</v>
          </cell>
          <cell r="J215">
            <v>1291331</v>
          </cell>
        </row>
        <row r="216">
          <cell r="A216" t="str">
            <v>5-3-01-04-003  IMPUESTOS VARIOS</v>
          </cell>
          <cell r="B216">
            <v>66400</v>
          </cell>
          <cell r="C216">
            <v>0</v>
          </cell>
          <cell r="D216">
            <v>66400</v>
          </cell>
          <cell r="E216">
            <v>0</v>
          </cell>
          <cell r="F216">
            <v>0</v>
          </cell>
          <cell r="G216">
            <v>0</v>
          </cell>
          <cell r="H216">
            <v>66400</v>
          </cell>
          <cell r="I216">
            <v>0</v>
          </cell>
          <cell r="J216">
            <v>-66400</v>
          </cell>
        </row>
        <row r="217">
          <cell r="A217" t="str">
            <v>5-3-01-05-001  DEPRECIACIONES</v>
          </cell>
          <cell r="B217">
            <v>241927995</v>
          </cell>
          <cell r="C217">
            <v>207246519</v>
          </cell>
          <cell r="D217">
            <v>34681476</v>
          </cell>
          <cell r="E217">
            <v>0</v>
          </cell>
          <cell r="F217">
            <v>0</v>
          </cell>
          <cell r="G217">
            <v>0</v>
          </cell>
          <cell r="H217">
            <v>34681476</v>
          </cell>
          <cell r="I217">
            <v>0</v>
          </cell>
          <cell r="J217">
            <v>-34681476</v>
          </cell>
        </row>
        <row r="218">
          <cell r="A218" t="str">
            <v>5-3-01-05-002  DEPRECIACION BIENES EN LEASING</v>
          </cell>
          <cell r="B218">
            <v>428226299</v>
          </cell>
          <cell r="C218">
            <v>367051112</v>
          </cell>
          <cell r="D218">
            <v>61175187</v>
          </cell>
          <cell r="E218">
            <v>0</v>
          </cell>
          <cell r="F218">
            <v>0</v>
          </cell>
          <cell r="G218">
            <v>0</v>
          </cell>
          <cell r="H218">
            <v>61175187</v>
          </cell>
          <cell r="I218">
            <v>0</v>
          </cell>
          <cell r="J218">
            <v>-61175187</v>
          </cell>
        </row>
        <row r="219">
          <cell r="A219" t="str">
            <v>Sub-Totales</v>
          </cell>
          <cell r="B219">
            <v>11858240971</v>
          </cell>
          <cell r="C219">
            <v>11858240971</v>
          </cell>
          <cell r="D219">
            <v>2385527887</v>
          </cell>
          <cell r="E219">
            <v>2385527887</v>
          </cell>
          <cell r="F219">
            <v>1375831479</v>
          </cell>
          <cell r="G219">
            <v>990736613</v>
          </cell>
          <cell r="H219">
            <v>1009696408</v>
          </cell>
          <cell r="I219">
            <v>1394791274</v>
          </cell>
          <cell r="J219">
            <v>0</v>
          </cell>
        </row>
        <row r="220">
          <cell r="A220" t="str">
            <v>Pérdidas / Ganancias</v>
          </cell>
          <cell r="B220"/>
          <cell r="C220"/>
          <cell r="D220"/>
          <cell r="E220"/>
          <cell r="F220"/>
          <cell r="G220">
            <v>385094866</v>
          </cell>
          <cell r="H220">
            <v>385094866</v>
          </cell>
          <cell r="I220"/>
          <cell r="J220">
            <v>0</v>
          </cell>
        </row>
        <row r="221">
          <cell r="A221" t="str">
            <v>Total General</v>
          </cell>
          <cell r="B221">
            <v>11858240971</v>
          </cell>
          <cell r="C221">
            <v>11858240971</v>
          </cell>
          <cell r="D221">
            <v>2385527887</v>
          </cell>
          <cell r="E221">
            <v>2385527887</v>
          </cell>
          <cell r="F221">
            <v>1375831479</v>
          </cell>
          <cell r="G221">
            <v>1375831479</v>
          </cell>
          <cell r="H221">
            <v>1394791274</v>
          </cell>
          <cell r="I221">
            <v>1394791274</v>
          </cell>
          <cell r="J221"/>
        </row>
        <row r="222">
          <cell r="J222"/>
        </row>
        <row r="223">
          <cell r="J223"/>
        </row>
        <row r="224">
          <cell r="J224"/>
        </row>
        <row r="225">
          <cell r="J225"/>
        </row>
        <row r="226">
          <cell r="J226"/>
        </row>
      </sheetData>
      <sheetData sheetId="16">
        <row r="1">
          <cell r="A1" t="str">
            <v>INVERSIONES SANTA FIDELMIRA LIMITADA</v>
          </cell>
          <cell r="B1"/>
          <cell r="C1"/>
          <cell r="D1"/>
          <cell r="E1"/>
          <cell r="F1"/>
          <cell r="G1"/>
          <cell r="H1"/>
          <cell r="I1"/>
        </row>
        <row r="2">
          <cell r="A2" t="str">
            <v>ARRIENDO, EXPLOTACION  BIENES INMUEBLES</v>
          </cell>
          <cell r="B2"/>
          <cell r="C2"/>
          <cell r="D2"/>
          <cell r="E2"/>
          <cell r="F2"/>
          <cell r="G2"/>
          <cell r="H2"/>
          <cell r="I2"/>
        </row>
        <row r="3">
          <cell r="A3" t="str">
            <v>MAIPU #599</v>
          </cell>
          <cell r="B3"/>
          <cell r="C3"/>
          <cell r="D3"/>
          <cell r="E3"/>
          <cell r="F3"/>
          <cell r="G3"/>
          <cell r="H3"/>
          <cell r="I3"/>
        </row>
        <row r="4">
          <cell r="A4" t="str">
            <v>LINARES</v>
          </cell>
          <cell r="B4"/>
          <cell r="C4"/>
          <cell r="D4"/>
          <cell r="E4"/>
          <cell r="F4"/>
          <cell r="G4"/>
          <cell r="H4"/>
          <cell r="I4"/>
        </row>
        <row r="5">
          <cell r="A5" t="str">
            <v>LINARES</v>
          </cell>
          <cell r="B5"/>
          <cell r="C5"/>
          <cell r="D5"/>
          <cell r="E5"/>
          <cell r="F5"/>
          <cell r="G5"/>
          <cell r="H5"/>
          <cell r="I5"/>
        </row>
        <row r="6">
          <cell r="A6" t="str">
            <v>79.991.280-5</v>
          </cell>
          <cell r="B6"/>
          <cell r="C6"/>
          <cell r="D6"/>
          <cell r="E6"/>
          <cell r="F6"/>
          <cell r="G6"/>
          <cell r="H6" t="str">
            <v>Fecha :</v>
          </cell>
          <cell r="I6" t="str">
            <v>21/10/2025</v>
          </cell>
        </row>
        <row r="8">
          <cell r="A8" t="str">
            <v>Balance Tributario</v>
          </cell>
          <cell r="B8"/>
          <cell r="C8"/>
          <cell r="D8"/>
          <cell r="E8"/>
          <cell r="F8"/>
          <cell r="G8"/>
          <cell r="H8"/>
          <cell r="I8"/>
          <cell r="J8"/>
        </row>
        <row r="9">
          <cell r="A9" t="str">
            <v xml:space="preserve"> Desde :Agosto/2025</v>
          </cell>
          <cell r="B9"/>
          <cell r="C9"/>
          <cell r="D9"/>
          <cell r="E9"/>
          <cell r="F9"/>
          <cell r="G9"/>
          <cell r="H9"/>
          <cell r="I9"/>
        </row>
        <row r="10">
          <cell r="A10" t="str">
            <v xml:space="preserve"> Hasta :Agosto/2025</v>
          </cell>
          <cell r="B10"/>
          <cell r="C10"/>
          <cell r="D10"/>
          <cell r="E10"/>
          <cell r="F10"/>
          <cell r="G10"/>
          <cell r="H10"/>
          <cell r="I10"/>
        </row>
        <row r="12">
          <cell r="A12" t="str">
            <v>Cuenta Contable</v>
          </cell>
          <cell r="B12" t="str">
            <v>Valores Acumulados</v>
          </cell>
          <cell r="C12"/>
          <cell r="D12" t="str">
            <v>Saldos</v>
          </cell>
          <cell r="E12"/>
          <cell r="F12" t="str">
            <v>Inventario</v>
          </cell>
          <cell r="G12"/>
          <cell r="H12" t="str">
            <v>Resultados</v>
          </cell>
          <cell r="I12"/>
        </row>
        <row r="13">
          <cell r="A13"/>
          <cell r="B13" t="str">
            <v>Débitos</v>
          </cell>
          <cell r="C13" t="str">
            <v>Créditos</v>
          </cell>
          <cell r="D13" t="str">
            <v>Deudor</v>
          </cell>
          <cell r="E13" t="str">
            <v>Acreedor</v>
          </cell>
          <cell r="F13" t="str">
            <v>Activo</v>
          </cell>
          <cell r="G13" t="str">
            <v>Pasivo</v>
          </cell>
          <cell r="H13" t="str">
            <v>Pérdida</v>
          </cell>
          <cell r="I13" t="str">
            <v>Ganancia</v>
          </cell>
        </row>
        <row r="14">
          <cell r="A14" t="str">
            <v>1-1-10-01-004  CAJA CHICA OUTLET TALCA</v>
          </cell>
          <cell r="B14">
            <v>3000000</v>
          </cell>
          <cell r="C14">
            <v>2988505</v>
          </cell>
          <cell r="D14">
            <v>11495</v>
          </cell>
          <cell r="E14">
            <v>0</v>
          </cell>
          <cell r="F14">
            <v>11495</v>
          </cell>
          <cell r="G14">
            <v>0</v>
          </cell>
          <cell r="H14">
            <v>0</v>
          </cell>
          <cell r="I14">
            <v>0</v>
          </cell>
          <cell r="J14">
            <v>11495</v>
          </cell>
        </row>
        <row r="15">
          <cell r="A15" t="str">
            <v>1-1-10-01-005  CAJA CHICA LINARES</v>
          </cell>
          <cell r="B15">
            <v>1029224</v>
          </cell>
          <cell r="C15">
            <v>1097556</v>
          </cell>
          <cell r="D15">
            <v>0</v>
          </cell>
          <cell r="E15">
            <v>68332</v>
          </cell>
          <cell r="F15">
            <v>0</v>
          </cell>
          <cell r="G15">
            <v>68332</v>
          </cell>
          <cell r="H15">
            <v>0</v>
          </cell>
          <cell r="I15">
            <v>0</v>
          </cell>
          <cell r="J15">
            <v>-68332</v>
          </cell>
        </row>
        <row r="16">
          <cell r="A16" t="str">
            <v>1-1-10-01-007  CAJA CHICA SANTIAGO</v>
          </cell>
          <cell r="B16">
            <v>271536</v>
          </cell>
          <cell r="C16">
            <v>195473</v>
          </cell>
          <cell r="D16">
            <v>76063</v>
          </cell>
          <cell r="E16">
            <v>0</v>
          </cell>
          <cell r="F16">
            <v>76063</v>
          </cell>
          <cell r="G16">
            <v>0</v>
          </cell>
          <cell r="H16">
            <v>0</v>
          </cell>
          <cell r="I16">
            <v>0</v>
          </cell>
          <cell r="J16">
            <v>76063</v>
          </cell>
        </row>
        <row r="17">
          <cell r="A17" t="str">
            <v>1-1-10-01-008  CAJA CHICA OFICINAS SANTIAGO</v>
          </cell>
          <cell r="B17">
            <v>1000000</v>
          </cell>
          <cell r="C17">
            <v>1618954</v>
          </cell>
          <cell r="D17">
            <v>0</v>
          </cell>
          <cell r="E17">
            <v>618954</v>
          </cell>
          <cell r="F17">
            <v>0</v>
          </cell>
          <cell r="G17">
            <v>618954</v>
          </cell>
          <cell r="H17">
            <v>0</v>
          </cell>
          <cell r="I17">
            <v>0</v>
          </cell>
          <cell r="J17">
            <v>-618954</v>
          </cell>
        </row>
        <row r="18">
          <cell r="A18" t="str">
            <v>1-1-10-01-009  CAJA CHICA OFICINA GERENCIAL</v>
          </cell>
          <cell r="B18">
            <v>350000</v>
          </cell>
          <cell r="C18">
            <v>348549</v>
          </cell>
          <cell r="D18">
            <v>1451</v>
          </cell>
          <cell r="E18">
            <v>0</v>
          </cell>
          <cell r="F18">
            <v>1451</v>
          </cell>
          <cell r="G18">
            <v>0</v>
          </cell>
          <cell r="H18">
            <v>0</v>
          </cell>
          <cell r="I18">
            <v>0</v>
          </cell>
          <cell r="J18">
            <v>1451</v>
          </cell>
        </row>
        <row r="19">
          <cell r="A19" t="str">
            <v>1-1-10-02-002  BANCO SANTANDER 25996240</v>
          </cell>
          <cell r="B19">
            <v>1635020727</v>
          </cell>
          <cell r="C19">
            <v>1633305547</v>
          </cell>
          <cell r="D19">
            <v>1715180</v>
          </cell>
          <cell r="E19">
            <v>0</v>
          </cell>
          <cell r="F19">
            <v>1715180</v>
          </cell>
          <cell r="G19">
            <v>0</v>
          </cell>
          <cell r="H19">
            <v>0</v>
          </cell>
          <cell r="I19">
            <v>0</v>
          </cell>
          <cell r="J19">
            <v>1715180</v>
          </cell>
        </row>
        <row r="20">
          <cell r="A20" t="str">
            <v>1-1-10-02-004  BANCO CREDITO E INVERSIONES</v>
          </cell>
          <cell r="B20">
            <v>219312575</v>
          </cell>
          <cell r="C20">
            <v>219312575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1-1-10-02-005  BANCO ITAU</v>
          </cell>
          <cell r="B21">
            <v>355713085</v>
          </cell>
          <cell r="C21">
            <v>368132016</v>
          </cell>
          <cell r="D21">
            <v>0</v>
          </cell>
          <cell r="E21">
            <v>12418931</v>
          </cell>
          <cell r="F21">
            <v>0</v>
          </cell>
          <cell r="G21">
            <v>12418931</v>
          </cell>
          <cell r="H21">
            <v>0</v>
          </cell>
          <cell r="I21">
            <v>0</v>
          </cell>
          <cell r="J21">
            <v>-12418931</v>
          </cell>
        </row>
        <row r="22">
          <cell r="A22" t="str">
            <v>1-1-10-02-006  BANCO INTERNACIONAL</v>
          </cell>
          <cell r="B22">
            <v>991995500</v>
          </cell>
          <cell r="C22">
            <v>990000000</v>
          </cell>
          <cell r="D22">
            <v>1995500</v>
          </cell>
          <cell r="E22">
            <v>0</v>
          </cell>
          <cell r="F22">
            <v>1995500</v>
          </cell>
          <cell r="G22">
            <v>0</v>
          </cell>
          <cell r="H22">
            <v>0</v>
          </cell>
          <cell r="I22">
            <v>0</v>
          </cell>
          <cell r="J22">
            <v>1995500</v>
          </cell>
        </row>
        <row r="23">
          <cell r="A23" t="str">
            <v>1-1-10-02-007  BANCO BCI CHILE DOLARES</v>
          </cell>
          <cell r="B23">
            <v>22044634</v>
          </cell>
          <cell r="C23">
            <v>190731621</v>
          </cell>
          <cell r="D23">
            <v>0</v>
          </cell>
          <cell r="E23">
            <v>168686987</v>
          </cell>
          <cell r="F23">
            <v>0</v>
          </cell>
          <cell r="G23">
            <v>168686987</v>
          </cell>
          <cell r="H23">
            <v>0</v>
          </cell>
          <cell r="I23">
            <v>0</v>
          </cell>
          <cell r="J23">
            <v>-168686987</v>
          </cell>
        </row>
        <row r="24">
          <cell r="A24" t="str">
            <v>1-1-20-01-003  ACCIONES CFINRENTAS BANCO SANTANDER</v>
          </cell>
          <cell r="B24">
            <v>27537637</v>
          </cell>
          <cell r="C24">
            <v>0</v>
          </cell>
          <cell r="D24">
            <v>27537637</v>
          </cell>
          <cell r="E24">
            <v>0</v>
          </cell>
          <cell r="F24">
            <v>27537637</v>
          </cell>
          <cell r="G24">
            <v>0</v>
          </cell>
          <cell r="H24">
            <v>0</v>
          </cell>
          <cell r="I24">
            <v>0</v>
          </cell>
          <cell r="J24">
            <v>27537637</v>
          </cell>
        </row>
        <row r="25">
          <cell r="A25" t="str">
            <v>1-1-20-01-006  FONDOS MUTUOS BCI PESOS</v>
          </cell>
          <cell r="B25">
            <v>0</v>
          </cell>
          <cell r="C25">
            <v>93018008</v>
          </cell>
          <cell r="D25">
            <v>0</v>
          </cell>
          <cell r="E25">
            <v>93018008</v>
          </cell>
          <cell r="F25">
            <v>0</v>
          </cell>
          <cell r="G25">
            <v>93018008</v>
          </cell>
          <cell r="H25">
            <v>0</v>
          </cell>
          <cell r="I25">
            <v>0</v>
          </cell>
          <cell r="J25">
            <v>-93018008</v>
          </cell>
        </row>
        <row r="26">
          <cell r="A26" t="str">
            <v>1-1-20-02-004  DAP BCI USD</v>
          </cell>
          <cell r="B26">
            <v>189326451</v>
          </cell>
          <cell r="C26">
            <v>0</v>
          </cell>
          <cell r="D26">
            <v>189326451</v>
          </cell>
          <cell r="E26">
            <v>0</v>
          </cell>
          <cell r="F26">
            <v>189326451</v>
          </cell>
          <cell r="G26">
            <v>0</v>
          </cell>
          <cell r="H26">
            <v>0</v>
          </cell>
          <cell r="I26">
            <v>0</v>
          </cell>
          <cell r="J26">
            <v>189326451</v>
          </cell>
        </row>
        <row r="27">
          <cell r="A27" t="str">
            <v>1-1-20-02-006  DEPOSITOS A PLAZO BCO INTERNACIONAL</v>
          </cell>
          <cell r="B27">
            <v>991004220</v>
          </cell>
          <cell r="C27">
            <v>0</v>
          </cell>
          <cell r="D27">
            <v>991004220</v>
          </cell>
          <cell r="E27">
            <v>0</v>
          </cell>
          <cell r="F27">
            <v>991004220</v>
          </cell>
          <cell r="G27">
            <v>0</v>
          </cell>
          <cell r="H27">
            <v>0</v>
          </cell>
          <cell r="I27">
            <v>0</v>
          </cell>
          <cell r="J27">
            <v>991004220</v>
          </cell>
        </row>
        <row r="28">
          <cell r="A28" t="str">
            <v>1-1-20-04-004  INVERSIONES FI BTG PACTUAL RENTAS EN PESOS</v>
          </cell>
          <cell r="B28">
            <v>20670600</v>
          </cell>
          <cell r="C28">
            <v>0</v>
          </cell>
          <cell r="D28">
            <v>20670600</v>
          </cell>
          <cell r="E28">
            <v>0</v>
          </cell>
          <cell r="F28">
            <v>20670600</v>
          </cell>
          <cell r="G28">
            <v>0</v>
          </cell>
          <cell r="H28">
            <v>0</v>
          </cell>
          <cell r="I28">
            <v>0</v>
          </cell>
          <cell r="J28">
            <v>20670600</v>
          </cell>
        </row>
        <row r="29">
          <cell r="A29" t="str">
            <v>1-1-20-04-005  INVERSIONES BTG FONDO MINING EN DOLARES</v>
          </cell>
          <cell r="B29">
            <v>0</v>
          </cell>
          <cell r="C29">
            <v>22</v>
          </cell>
          <cell r="D29">
            <v>0</v>
          </cell>
          <cell r="E29">
            <v>22</v>
          </cell>
          <cell r="F29">
            <v>0</v>
          </cell>
          <cell r="G29">
            <v>22</v>
          </cell>
          <cell r="H29">
            <v>0</v>
          </cell>
          <cell r="I29">
            <v>0</v>
          </cell>
          <cell r="J29">
            <v>-22</v>
          </cell>
        </row>
        <row r="30">
          <cell r="A30" t="str">
            <v>1-1-20-04-006  BANCHILE CORREDORES DE BOLSA DOLARES</v>
          </cell>
          <cell r="B30">
            <v>39288</v>
          </cell>
          <cell r="C30">
            <v>0</v>
          </cell>
          <cell r="D30">
            <v>39288</v>
          </cell>
          <cell r="E30">
            <v>0</v>
          </cell>
          <cell r="F30">
            <v>39288</v>
          </cell>
          <cell r="G30">
            <v>0</v>
          </cell>
          <cell r="H30">
            <v>0</v>
          </cell>
          <cell r="I30">
            <v>0</v>
          </cell>
          <cell r="J30">
            <v>39288</v>
          </cell>
        </row>
        <row r="31">
          <cell r="A31" t="str">
            <v>1-1-20-04-009  ACCIONES BCI CORREDOR BOLSA</v>
          </cell>
          <cell r="B31">
            <v>26872909</v>
          </cell>
          <cell r="C31">
            <v>0</v>
          </cell>
          <cell r="D31">
            <v>26872909</v>
          </cell>
          <cell r="E31">
            <v>0</v>
          </cell>
          <cell r="F31">
            <v>26872909</v>
          </cell>
          <cell r="G31">
            <v>0</v>
          </cell>
          <cell r="H31">
            <v>0</v>
          </cell>
          <cell r="I31">
            <v>0</v>
          </cell>
          <cell r="J31">
            <v>26872909</v>
          </cell>
        </row>
        <row r="32">
          <cell r="A32" t="str">
            <v>1-1-20-04-013  FONDO MUTUO BTG MONEY MARKET PESOS</v>
          </cell>
          <cell r="B32">
            <v>8536810</v>
          </cell>
          <cell r="C32">
            <v>0</v>
          </cell>
          <cell r="D32">
            <v>8536810</v>
          </cell>
          <cell r="E32">
            <v>0</v>
          </cell>
          <cell r="F32">
            <v>8536810</v>
          </cell>
          <cell r="G32">
            <v>0</v>
          </cell>
          <cell r="H32">
            <v>0</v>
          </cell>
          <cell r="I32">
            <v>0</v>
          </cell>
          <cell r="J32">
            <v>8536810</v>
          </cell>
        </row>
        <row r="33">
          <cell r="A33" t="str">
            <v>1-1-30-01-004  POVISION INGRESOS</v>
          </cell>
          <cell r="B33">
            <v>209789227</v>
          </cell>
          <cell r="C33">
            <v>192648467</v>
          </cell>
          <cell r="D33">
            <v>17140760</v>
          </cell>
          <cell r="E33">
            <v>0</v>
          </cell>
          <cell r="F33">
            <v>17140760</v>
          </cell>
          <cell r="G33">
            <v>0</v>
          </cell>
          <cell r="H33">
            <v>0</v>
          </cell>
          <cell r="I33">
            <v>0</v>
          </cell>
          <cell r="J33">
            <v>17140760</v>
          </cell>
        </row>
        <row r="34">
          <cell r="A34" t="str">
            <v>1-1-30-01-005  CLIENTES 2</v>
          </cell>
          <cell r="B34">
            <v>1323598962</v>
          </cell>
          <cell r="C34">
            <v>1349508276</v>
          </cell>
          <cell r="D34">
            <v>0</v>
          </cell>
          <cell r="E34">
            <v>25909314</v>
          </cell>
          <cell r="F34">
            <v>0</v>
          </cell>
          <cell r="G34">
            <v>25909314</v>
          </cell>
          <cell r="H34">
            <v>0</v>
          </cell>
          <cell r="I34">
            <v>0</v>
          </cell>
          <cell r="J34">
            <v>-25909314</v>
          </cell>
        </row>
        <row r="35">
          <cell r="A35" t="str">
            <v>1-1-30-01-008  CHEQUE EN CARTERAS (PLAN DE PAGO CLIENTES)</v>
          </cell>
          <cell r="B35">
            <v>42542914</v>
          </cell>
          <cell r="C35">
            <v>13042743</v>
          </cell>
          <cell r="D35">
            <v>29500171</v>
          </cell>
          <cell r="E35">
            <v>0</v>
          </cell>
          <cell r="F35">
            <v>29500171</v>
          </cell>
          <cell r="G35">
            <v>0</v>
          </cell>
          <cell r="H35">
            <v>0</v>
          </cell>
          <cell r="I35">
            <v>0</v>
          </cell>
          <cell r="J35">
            <v>29500171</v>
          </cell>
        </row>
        <row r="36">
          <cell r="A36" t="str">
            <v>1-1-30-02-005  DOCUMENTOS POR COBRAR</v>
          </cell>
          <cell r="B36">
            <v>0</v>
          </cell>
          <cell r="C36">
            <v>25505201</v>
          </cell>
          <cell r="D36">
            <v>0</v>
          </cell>
          <cell r="E36">
            <v>25505201</v>
          </cell>
          <cell r="F36">
            <v>0</v>
          </cell>
          <cell r="G36">
            <v>25505201</v>
          </cell>
          <cell r="H36">
            <v>0</v>
          </cell>
          <cell r="I36">
            <v>0</v>
          </cell>
          <cell r="J36">
            <v>-25505201</v>
          </cell>
        </row>
        <row r="37">
          <cell r="A37" t="str">
            <v>1-1-40-01-006  CTA.CTE. AL PERSONAL</v>
          </cell>
          <cell r="B37">
            <v>1000000</v>
          </cell>
          <cell r="C37">
            <v>0</v>
          </cell>
          <cell r="D37">
            <v>1000000</v>
          </cell>
          <cell r="E37">
            <v>0</v>
          </cell>
          <cell r="F37">
            <v>1000000</v>
          </cell>
          <cell r="G37">
            <v>0</v>
          </cell>
          <cell r="H37">
            <v>0</v>
          </cell>
          <cell r="I37">
            <v>0</v>
          </cell>
          <cell r="J37">
            <v>1000000</v>
          </cell>
        </row>
        <row r="38">
          <cell r="A38" t="str">
            <v>1-1-40-01-010  CTA X COBRAR INV.PRIME CAPITAL INTERNACIONAL (EX SEGOVIA SA)</v>
          </cell>
          <cell r="B38">
            <v>0</v>
          </cell>
          <cell r="C38">
            <v>22172545</v>
          </cell>
          <cell r="D38">
            <v>0</v>
          </cell>
          <cell r="E38">
            <v>22172545</v>
          </cell>
          <cell r="F38">
            <v>0</v>
          </cell>
          <cell r="G38">
            <v>22172545</v>
          </cell>
          <cell r="H38">
            <v>0</v>
          </cell>
          <cell r="I38">
            <v>0</v>
          </cell>
          <cell r="J38">
            <v>-22172545</v>
          </cell>
        </row>
        <row r="39">
          <cell r="A39" t="str">
            <v>1-1-40-01-011  PRESTAMO INVERSIONES GRAN DESIERTO</v>
          </cell>
          <cell r="B39">
            <v>2101695</v>
          </cell>
          <cell r="C39">
            <v>0</v>
          </cell>
          <cell r="D39">
            <v>2101695</v>
          </cell>
          <cell r="E39">
            <v>0</v>
          </cell>
          <cell r="F39">
            <v>2101695</v>
          </cell>
          <cell r="G39">
            <v>0</v>
          </cell>
          <cell r="H39">
            <v>0</v>
          </cell>
          <cell r="I39">
            <v>0</v>
          </cell>
          <cell r="J39">
            <v>2101695</v>
          </cell>
        </row>
        <row r="40">
          <cell r="A40" t="str">
            <v>1-1-40-01-012  MUTUOS POR COBRAR</v>
          </cell>
          <cell r="B40">
            <v>319207</v>
          </cell>
          <cell r="C40">
            <v>0</v>
          </cell>
          <cell r="D40">
            <v>319207</v>
          </cell>
          <cell r="E40">
            <v>0</v>
          </cell>
          <cell r="F40">
            <v>319207</v>
          </cell>
          <cell r="G40">
            <v>0</v>
          </cell>
          <cell r="H40">
            <v>0</v>
          </cell>
          <cell r="I40">
            <v>0</v>
          </cell>
          <cell r="J40">
            <v>319207</v>
          </cell>
        </row>
        <row r="41">
          <cell r="A41" t="str">
            <v>1-1-40-01-014  CTA X COBRAR ISF DOLAR</v>
          </cell>
          <cell r="B41">
            <v>7441949</v>
          </cell>
          <cell r="C41">
            <v>25161784</v>
          </cell>
          <cell r="D41">
            <v>0</v>
          </cell>
          <cell r="E41">
            <v>17719835</v>
          </cell>
          <cell r="F41">
            <v>0</v>
          </cell>
          <cell r="G41">
            <v>17719835</v>
          </cell>
          <cell r="H41">
            <v>0</v>
          </cell>
          <cell r="I41">
            <v>0</v>
          </cell>
          <cell r="J41">
            <v>-17719835</v>
          </cell>
        </row>
        <row r="42">
          <cell r="A42" t="str">
            <v>1-1-40-01-015  CTA POR COBRAR ISF FLORIDA HOLDINGS MIAMI</v>
          </cell>
          <cell r="B42">
            <v>0</v>
          </cell>
          <cell r="C42">
            <v>1059000</v>
          </cell>
          <cell r="D42">
            <v>0</v>
          </cell>
          <cell r="E42">
            <v>1059000</v>
          </cell>
          <cell r="F42">
            <v>0</v>
          </cell>
          <cell r="G42">
            <v>1059000</v>
          </cell>
          <cell r="H42">
            <v>0</v>
          </cell>
          <cell r="I42">
            <v>0</v>
          </cell>
          <cell r="J42">
            <v>-1059000</v>
          </cell>
        </row>
        <row r="43">
          <cell r="A43" t="str">
            <v>1-1-40-01-017  ANTICIPO PROVEEDOR 3</v>
          </cell>
          <cell r="B43">
            <v>252100114</v>
          </cell>
          <cell r="C43">
            <v>253081017</v>
          </cell>
          <cell r="D43">
            <v>0</v>
          </cell>
          <cell r="E43">
            <v>980903</v>
          </cell>
          <cell r="F43">
            <v>0</v>
          </cell>
          <cell r="G43">
            <v>980903</v>
          </cell>
          <cell r="H43">
            <v>0</v>
          </cell>
          <cell r="I43">
            <v>0</v>
          </cell>
          <cell r="J43">
            <v>-980903</v>
          </cell>
        </row>
        <row r="44">
          <cell r="A44" t="str">
            <v>1-1-40-01-019  CTA X COBRAR ERIC WAGHORN VITAR</v>
          </cell>
          <cell r="B44">
            <v>35200200</v>
          </cell>
          <cell r="C44">
            <v>0</v>
          </cell>
          <cell r="D44">
            <v>35200200</v>
          </cell>
          <cell r="E44">
            <v>0</v>
          </cell>
          <cell r="F44">
            <v>35200200</v>
          </cell>
          <cell r="G44">
            <v>0</v>
          </cell>
          <cell r="H44">
            <v>0</v>
          </cell>
          <cell r="I44">
            <v>0</v>
          </cell>
          <cell r="J44">
            <v>35200200</v>
          </cell>
        </row>
        <row r="45">
          <cell r="A45" t="str">
            <v>1-1-40-01-020  ANTICIPO SUELDO (2)</v>
          </cell>
          <cell r="B45">
            <v>7310000</v>
          </cell>
          <cell r="C45">
            <v>7310000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A46" t="str">
            <v>1-1-40-01-021  C X C INVERSIONES EWA SPA</v>
          </cell>
          <cell r="B46">
            <v>99332</v>
          </cell>
          <cell r="C46">
            <v>0</v>
          </cell>
          <cell r="D46">
            <v>99332</v>
          </cell>
          <cell r="E46">
            <v>0</v>
          </cell>
          <cell r="F46">
            <v>99332</v>
          </cell>
          <cell r="G46">
            <v>0</v>
          </cell>
          <cell r="H46">
            <v>0</v>
          </cell>
          <cell r="I46">
            <v>0</v>
          </cell>
          <cell r="J46">
            <v>99332</v>
          </cell>
        </row>
        <row r="47">
          <cell r="A47" t="str">
            <v>1-1-50-01-005  PAGARE POR COBRAR DOLE</v>
          </cell>
          <cell r="B47">
            <v>1190632</v>
          </cell>
          <cell r="C47">
            <v>4786539</v>
          </cell>
          <cell r="D47">
            <v>0</v>
          </cell>
          <cell r="E47">
            <v>3595907</v>
          </cell>
          <cell r="F47">
            <v>0</v>
          </cell>
          <cell r="G47">
            <v>3595907</v>
          </cell>
          <cell r="H47">
            <v>0</v>
          </cell>
          <cell r="I47">
            <v>0</v>
          </cell>
          <cell r="J47">
            <v>-3595907</v>
          </cell>
        </row>
        <row r="48">
          <cell r="A48" t="str">
            <v>1-1-50-01-006  CTA, POR COBRAR DINAMITY</v>
          </cell>
          <cell r="B48">
            <v>50227377</v>
          </cell>
          <cell r="C48">
            <v>0</v>
          </cell>
          <cell r="D48">
            <v>50227377</v>
          </cell>
          <cell r="E48">
            <v>0</v>
          </cell>
          <cell r="F48">
            <v>50227377</v>
          </cell>
          <cell r="G48">
            <v>0</v>
          </cell>
          <cell r="H48">
            <v>0</v>
          </cell>
          <cell r="I48">
            <v>0</v>
          </cell>
          <cell r="J48">
            <v>50227377</v>
          </cell>
        </row>
        <row r="49">
          <cell r="A49" t="str">
            <v>1-1-50-01-007  PAGARES POR COBRAR INMOBILIARIA CUATRO</v>
          </cell>
          <cell r="B49">
            <v>396247</v>
          </cell>
          <cell r="C49">
            <v>3646599</v>
          </cell>
          <cell r="D49">
            <v>0</v>
          </cell>
          <cell r="E49">
            <v>3250352</v>
          </cell>
          <cell r="F49">
            <v>0</v>
          </cell>
          <cell r="G49">
            <v>3250352</v>
          </cell>
          <cell r="H49">
            <v>0</v>
          </cell>
          <cell r="I49">
            <v>0</v>
          </cell>
          <cell r="J49">
            <v>-3250352</v>
          </cell>
        </row>
        <row r="50">
          <cell r="A50" t="str">
            <v>1-1-50-01-008  CUENTA POR COBRAR INMOB VALDEPEÑAS SPA</v>
          </cell>
          <cell r="B50">
            <v>11273076</v>
          </cell>
          <cell r="C50">
            <v>0</v>
          </cell>
          <cell r="D50">
            <v>11273076</v>
          </cell>
          <cell r="E50">
            <v>0</v>
          </cell>
          <cell r="F50">
            <v>11273076</v>
          </cell>
          <cell r="G50">
            <v>0</v>
          </cell>
          <cell r="H50">
            <v>0</v>
          </cell>
          <cell r="I50">
            <v>0</v>
          </cell>
          <cell r="J50">
            <v>11273076</v>
          </cell>
        </row>
        <row r="51">
          <cell r="A51" t="str">
            <v>1-1-50-01-009  CUENTA POR COBRAR INMOB LIRCAY SPA</v>
          </cell>
          <cell r="B51">
            <v>5173518</v>
          </cell>
          <cell r="C51">
            <v>0</v>
          </cell>
          <cell r="D51">
            <v>5173518</v>
          </cell>
          <cell r="E51">
            <v>0</v>
          </cell>
          <cell r="F51">
            <v>5173518</v>
          </cell>
          <cell r="G51">
            <v>0</v>
          </cell>
          <cell r="H51">
            <v>0</v>
          </cell>
          <cell r="I51">
            <v>0</v>
          </cell>
          <cell r="J51">
            <v>5173518</v>
          </cell>
        </row>
        <row r="52">
          <cell r="A52" t="str">
            <v>1-1-60-01-001  INT. DIF. LEASING VALPO- C/P</v>
          </cell>
          <cell r="B52">
            <v>0</v>
          </cell>
          <cell r="C52">
            <v>160509</v>
          </cell>
          <cell r="D52">
            <v>0</v>
          </cell>
          <cell r="E52">
            <v>160509</v>
          </cell>
          <cell r="F52">
            <v>0</v>
          </cell>
          <cell r="G52">
            <v>160509</v>
          </cell>
          <cell r="H52">
            <v>0</v>
          </cell>
          <cell r="I52">
            <v>0</v>
          </cell>
          <cell r="J52">
            <v>-160509</v>
          </cell>
        </row>
        <row r="53">
          <cell r="A53" t="str">
            <v>1-1-60-01-002  INT. DIF. LEASING CAUQUENES C/P</v>
          </cell>
          <cell r="B53">
            <v>0</v>
          </cell>
          <cell r="C53">
            <v>123357</v>
          </cell>
          <cell r="D53">
            <v>0</v>
          </cell>
          <cell r="E53">
            <v>123357</v>
          </cell>
          <cell r="F53">
            <v>0</v>
          </cell>
          <cell r="G53">
            <v>123357</v>
          </cell>
          <cell r="H53">
            <v>0</v>
          </cell>
          <cell r="I53">
            <v>0</v>
          </cell>
          <cell r="J53">
            <v>-123357</v>
          </cell>
        </row>
        <row r="54">
          <cell r="A54" t="str">
            <v>1-1-60-01-003  INTERES DIF.LEASING-OUTLET C/P</v>
          </cell>
          <cell r="B54">
            <v>758152</v>
          </cell>
          <cell r="C54">
            <v>0</v>
          </cell>
          <cell r="D54">
            <v>758152</v>
          </cell>
          <cell r="E54">
            <v>0</v>
          </cell>
          <cell r="F54">
            <v>758152</v>
          </cell>
          <cell r="G54">
            <v>0</v>
          </cell>
          <cell r="H54">
            <v>0</v>
          </cell>
          <cell r="I54">
            <v>0</v>
          </cell>
          <cell r="J54">
            <v>758152</v>
          </cell>
        </row>
        <row r="55">
          <cell r="A55" t="str">
            <v>1-1-60-01-011  INT.DIF.LEASING VALPO L/P</v>
          </cell>
          <cell r="B55">
            <v>0</v>
          </cell>
          <cell r="C55">
            <v>1969553</v>
          </cell>
          <cell r="D55">
            <v>0</v>
          </cell>
          <cell r="E55">
            <v>1969553</v>
          </cell>
          <cell r="F55">
            <v>0</v>
          </cell>
          <cell r="G55">
            <v>1969553</v>
          </cell>
          <cell r="H55">
            <v>0</v>
          </cell>
          <cell r="I55">
            <v>0</v>
          </cell>
          <cell r="J55">
            <v>-1969553</v>
          </cell>
        </row>
        <row r="56">
          <cell r="A56" t="str">
            <v>1-1-60-01-012  INT.DIF.LEASING CAUQUENES L/P</v>
          </cell>
          <cell r="B56">
            <v>0</v>
          </cell>
          <cell r="C56">
            <v>1572530</v>
          </cell>
          <cell r="D56">
            <v>0</v>
          </cell>
          <cell r="E56">
            <v>1572530</v>
          </cell>
          <cell r="F56">
            <v>0</v>
          </cell>
          <cell r="G56">
            <v>1572530</v>
          </cell>
          <cell r="H56">
            <v>0</v>
          </cell>
          <cell r="I56">
            <v>0</v>
          </cell>
          <cell r="J56">
            <v>-1572530</v>
          </cell>
        </row>
        <row r="57">
          <cell r="A57" t="str">
            <v>1-1-60-01-013  INTERES DIF. LEASING OUTLET-L/P</v>
          </cell>
          <cell r="B57">
            <v>0</v>
          </cell>
          <cell r="C57">
            <v>30363910</v>
          </cell>
          <cell r="D57">
            <v>0</v>
          </cell>
          <cell r="E57">
            <v>30363910</v>
          </cell>
          <cell r="F57">
            <v>0</v>
          </cell>
          <cell r="G57">
            <v>30363910</v>
          </cell>
          <cell r="H57">
            <v>0</v>
          </cell>
          <cell r="I57">
            <v>0</v>
          </cell>
          <cell r="J57">
            <v>-30363910</v>
          </cell>
        </row>
        <row r="58">
          <cell r="A58" t="str">
            <v>1-1-60-01-014  INTERESES DIF VEHICULOS LEASING CP</v>
          </cell>
          <cell r="B58">
            <v>0</v>
          </cell>
          <cell r="C58">
            <v>791846</v>
          </cell>
          <cell r="D58">
            <v>0</v>
          </cell>
          <cell r="E58">
            <v>791846</v>
          </cell>
          <cell r="F58">
            <v>0</v>
          </cell>
          <cell r="G58">
            <v>791846</v>
          </cell>
          <cell r="H58">
            <v>0</v>
          </cell>
          <cell r="I58">
            <v>0</v>
          </cell>
          <cell r="J58">
            <v>-791846</v>
          </cell>
        </row>
        <row r="59">
          <cell r="A59" t="str">
            <v>1-1-60-01-015  INTERESES DIF VEHICULOS LEASING LP</v>
          </cell>
          <cell r="B59">
            <v>0</v>
          </cell>
          <cell r="C59">
            <v>38382</v>
          </cell>
          <cell r="D59">
            <v>0</v>
          </cell>
          <cell r="E59">
            <v>38382</v>
          </cell>
          <cell r="F59">
            <v>0</v>
          </cell>
          <cell r="G59">
            <v>38382</v>
          </cell>
          <cell r="H59">
            <v>0</v>
          </cell>
          <cell r="I59">
            <v>0</v>
          </cell>
          <cell r="J59">
            <v>-38382</v>
          </cell>
        </row>
        <row r="60">
          <cell r="A60" t="str">
            <v>1-1-60-01-016  INTER DIF  HIPOTECARIO LOS MORROS CP</v>
          </cell>
          <cell r="B60">
            <v>79790</v>
          </cell>
          <cell r="C60">
            <v>0</v>
          </cell>
          <cell r="D60">
            <v>79790</v>
          </cell>
          <cell r="E60">
            <v>0</v>
          </cell>
          <cell r="F60">
            <v>79790</v>
          </cell>
          <cell r="G60">
            <v>0</v>
          </cell>
          <cell r="H60">
            <v>0</v>
          </cell>
          <cell r="I60">
            <v>0</v>
          </cell>
          <cell r="J60">
            <v>79790</v>
          </cell>
        </row>
        <row r="61">
          <cell r="A61" t="str">
            <v>1-1-60-01-017  INTER DIF HIPOTECARIO LOS MORROS LP</v>
          </cell>
          <cell r="B61">
            <v>0</v>
          </cell>
          <cell r="C61">
            <v>8278151</v>
          </cell>
          <cell r="D61">
            <v>0</v>
          </cell>
          <cell r="E61">
            <v>8278151</v>
          </cell>
          <cell r="F61">
            <v>0</v>
          </cell>
          <cell r="G61">
            <v>8278151</v>
          </cell>
          <cell r="H61">
            <v>0</v>
          </cell>
          <cell r="I61">
            <v>0</v>
          </cell>
          <cell r="J61">
            <v>-8278151</v>
          </cell>
        </row>
        <row r="62">
          <cell r="A62" t="str">
            <v>1-1-60-01-020  INTERESES DIF INTERNACIONAL CP M$1.000</v>
          </cell>
          <cell r="B62">
            <v>71448044</v>
          </cell>
          <cell r="C62">
            <v>0</v>
          </cell>
          <cell r="D62">
            <v>71448044</v>
          </cell>
          <cell r="E62">
            <v>0</v>
          </cell>
          <cell r="F62">
            <v>71448044</v>
          </cell>
          <cell r="G62">
            <v>0</v>
          </cell>
          <cell r="H62">
            <v>0</v>
          </cell>
          <cell r="I62">
            <v>0</v>
          </cell>
          <cell r="J62">
            <v>71448044</v>
          </cell>
        </row>
        <row r="63">
          <cell r="A63" t="str">
            <v>1-1-60-01-021  INTERESES DIF INTERNACIONAL LP M$1.000</v>
          </cell>
          <cell r="B63">
            <v>214787576</v>
          </cell>
          <cell r="C63">
            <v>0</v>
          </cell>
          <cell r="D63">
            <v>214787576</v>
          </cell>
          <cell r="E63">
            <v>0</v>
          </cell>
          <cell r="F63">
            <v>214787576</v>
          </cell>
          <cell r="G63">
            <v>0</v>
          </cell>
          <cell r="H63">
            <v>0</v>
          </cell>
          <cell r="I63">
            <v>0</v>
          </cell>
          <cell r="J63">
            <v>214787576</v>
          </cell>
        </row>
        <row r="64">
          <cell r="A64" t="str">
            <v>1-1-70-01-001  IVA CREDITO FISCAL</v>
          </cell>
          <cell r="B64">
            <v>121229785</v>
          </cell>
          <cell r="C64">
            <v>121229785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1-1-70-01-010  INTER. DIF. LEASING 1 SUR 1990 CP</v>
          </cell>
          <cell r="B65">
            <v>0</v>
          </cell>
          <cell r="C65">
            <v>229247</v>
          </cell>
          <cell r="D65">
            <v>0</v>
          </cell>
          <cell r="E65">
            <v>229247</v>
          </cell>
          <cell r="F65">
            <v>0</v>
          </cell>
          <cell r="G65">
            <v>229247</v>
          </cell>
          <cell r="H65">
            <v>0</v>
          </cell>
          <cell r="I65">
            <v>0</v>
          </cell>
          <cell r="J65">
            <v>-229247</v>
          </cell>
        </row>
        <row r="66">
          <cell r="A66" t="str">
            <v>1-1-70-01-011  INTER. DIF. LEASING SAN JAVIER CP</v>
          </cell>
          <cell r="B66">
            <v>0</v>
          </cell>
          <cell r="C66">
            <v>197115</v>
          </cell>
          <cell r="D66">
            <v>0</v>
          </cell>
          <cell r="E66">
            <v>197115</v>
          </cell>
          <cell r="F66">
            <v>0</v>
          </cell>
          <cell r="G66">
            <v>197115</v>
          </cell>
          <cell r="H66">
            <v>0</v>
          </cell>
          <cell r="I66">
            <v>0</v>
          </cell>
          <cell r="J66">
            <v>-197115</v>
          </cell>
        </row>
        <row r="67">
          <cell r="A67" t="str">
            <v>1-1-70-01-012  INTER. DIF. LEASING COLIN 0240 CP</v>
          </cell>
          <cell r="B67">
            <v>0</v>
          </cell>
          <cell r="C67">
            <v>370999</v>
          </cell>
          <cell r="D67">
            <v>0</v>
          </cell>
          <cell r="E67">
            <v>370999</v>
          </cell>
          <cell r="F67">
            <v>0</v>
          </cell>
          <cell r="G67">
            <v>370999</v>
          </cell>
          <cell r="H67">
            <v>0</v>
          </cell>
          <cell r="I67">
            <v>0</v>
          </cell>
          <cell r="J67">
            <v>-370999</v>
          </cell>
        </row>
        <row r="68">
          <cell r="A68" t="str">
            <v>1-1-70-01-013  INTER. DIF. LEASING C. SATELITE CP</v>
          </cell>
          <cell r="B68">
            <v>0</v>
          </cell>
          <cell r="C68">
            <v>545437</v>
          </cell>
          <cell r="D68">
            <v>0</v>
          </cell>
          <cell r="E68">
            <v>545437</v>
          </cell>
          <cell r="F68">
            <v>0</v>
          </cell>
          <cell r="G68">
            <v>545437</v>
          </cell>
          <cell r="H68">
            <v>0</v>
          </cell>
          <cell r="I68">
            <v>0</v>
          </cell>
          <cell r="J68">
            <v>-545437</v>
          </cell>
        </row>
        <row r="69">
          <cell r="A69" t="str">
            <v>1-1-70-01-014  INTER. DIF. LEASING 11 ORIENTE CP</v>
          </cell>
          <cell r="B69">
            <v>0</v>
          </cell>
          <cell r="C69">
            <v>467953</v>
          </cell>
          <cell r="D69">
            <v>0</v>
          </cell>
          <cell r="E69">
            <v>467953</v>
          </cell>
          <cell r="F69">
            <v>0</v>
          </cell>
          <cell r="G69">
            <v>467953</v>
          </cell>
          <cell r="H69">
            <v>0</v>
          </cell>
          <cell r="I69">
            <v>0</v>
          </cell>
          <cell r="J69">
            <v>-467953</v>
          </cell>
        </row>
        <row r="70">
          <cell r="A70" t="str">
            <v>1-1-70-01-015  INTER. DIF. LEASING MAIPU 556 CP</v>
          </cell>
          <cell r="B70">
            <v>0</v>
          </cell>
          <cell r="C70">
            <v>414154</v>
          </cell>
          <cell r="D70">
            <v>0</v>
          </cell>
          <cell r="E70">
            <v>414154</v>
          </cell>
          <cell r="F70">
            <v>0</v>
          </cell>
          <cell r="G70">
            <v>414154</v>
          </cell>
          <cell r="H70">
            <v>0</v>
          </cell>
          <cell r="I70">
            <v>0</v>
          </cell>
          <cell r="J70">
            <v>-414154</v>
          </cell>
        </row>
        <row r="71">
          <cell r="A71" t="str">
            <v>1-1-70-01-016  INTER. DIF. LEASING BRASIL 648 CP</v>
          </cell>
          <cell r="B71">
            <v>0</v>
          </cell>
          <cell r="C71">
            <v>317518</v>
          </cell>
          <cell r="D71">
            <v>0</v>
          </cell>
          <cell r="E71">
            <v>317518</v>
          </cell>
          <cell r="F71">
            <v>0</v>
          </cell>
          <cell r="G71">
            <v>317518</v>
          </cell>
          <cell r="H71">
            <v>0</v>
          </cell>
          <cell r="I71">
            <v>0</v>
          </cell>
          <cell r="J71">
            <v>-317518</v>
          </cell>
        </row>
        <row r="72">
          <cell r="A72" t="str">
            <v>1-1-70-01-017  INTER. DIF. LEASING VIAL 224 CP</v>
          </cell>
          <cell r="B72">
            <v>0</v>
          </cell>
          <cell r="C72">
            <v>379640</v>
          </cell>
          <cell r="D72">
            <v>0</v>
          </cell>
          <cell r="E72">
            <v>379640</v>
          </cell>
          <cell r="F72">
            <v>0</v>
          </cell>
          <cell r="G72">
            <v>379640</v>
          </cell>
          <cell r="H72">
            <v>0</v>
          </cell>
          <cell r="I72">
            <v>0</v>
          </cell>
          <cell r="J72">
            <v>-379640</v>
          </cell>
        </row>
        <row r="73">
          <cell r="A73" t="str">
            <v>1-1-70-01-018  INTER. DIF. LEASING TALCA COLIN CP</v>
          </cell>
          <cell r="B73">
            <v>0</v>
          </cell>
          <cell r="C73">
            <v>3801875</v>
          </cell>
          <cell r="D73">
            <v>0</v>
          </cell>
          <cell r="E73">
            <v>3801875</v>
          </cell>
          <cell r="F73">
            <v>0</v>
          </cell>
          <cell r="G73">
            <v>3801875</v>
          </cell>
          <cell r="H73">
            <v>0</v>
          </cell>
          <cell r="I73">
            <v>0</v>
          </cell>
          <cell r="J73">
            <v>-3801875</v>
          </cell>
        </row>
        <row r="74">
          <cell r="A74" t="str">
            <v>1-1-70-01-019  INTER. DIF. HIPOTECARIO CP</v>
          </cell>
          <cell r="B74">
            <v>0</v>
          </cell>
          <cell r="C74">
            <v>770188</v>
          </cell>
          <cell r="D74">
            <v>0</v>
          </cell>
          <cell r="E74">
            <v>770188</v>
          </cell>
          <cell r="F74">
            <v>0</v>
          </cell>
          <cell r="G74">
            <v>770188</v>
          </cell>
          <cell r="H74">
            <v>0</v>
          </cell>
          <cell r="I74">
            <v>0</v>
          </cell>
          <cell r="J74">
            <v>-770188</v>
          </cell>
        </row>
        <row r="75">
          <cell r="A75" t="str">
            <v>1-1-70-01-020  REMANENTE CR FISCAL</v>
          </cell>
          <cell r="B75">
            <v>608757</v>
          </cell>
          <cell r="C75">
            <v>58069455</v>
          </cell>
          <cell r="D75">
            <v>0</v>
          </cell>
          <cell r="E75">
            <v>57460698</v>
          </cell>
          <cell r="F75">
            <v>0</v>
          </cell>
          <cell r="G75">
            <v>57460698</v>
          </cell>
          <cell r="H75">
            <v>0</v>
          </cell>
          <cell r="I75">
            <v>0</v>
          </cell>
          <cell r="J75">
            <v>-57460698</v>
          </cell>
        </row>
        <row r="76">
          <cell r="A76" t="str">
            <v>1-1-70-01-025  INTER. DIF. LEASING 11 ORIENTE LP</v>
          </cell>
          <cell r="B76">
            <v>0</v>
          </cell>
          <cell r="C76">
            <v>246291</v>
          </cell>
          <cell r="D76">
            <v>0</v>
          </cell>
          <cell r="E76">
            <v>246291</v>
          </cell>
          <cell r="F76">
            <v>0</v>
          </cell>
          <cell r="G76">
            <v>246291</v>
          </cell>
          <cell r="H76">
            <v>0</v>
          </cell>
          <cell r="I76">
            <v>0</v>
          </cell>
          <cell r="J76">
            <v>-246291</v>
          </cell>
        </row>
        <row r="77">
          <cell r="A77" t="str">
            <v>1-1-70-01-026  INTER. DIF. LEASING MAIPU 556 LP</v>
          </cell>
          <cell r="B77">
            <v>0</v>
          </cell>
          <cell r="C77">
            <v>217975</v>
          </cell>
          <cell r="D77">
            <v>0</v>
          </cell>
          <cell r="E77">
            <v>217975</v>
          </cell>
          <cell r="F77">
            <v>0</v>
          </cell>
          <cell r="G77">
            <v>217975</v>
          </cell>
          <cell r="H77">
            <v>0</v>
          </cell>
          <cell r="I77">
            <v>0</v>
          </cell>
          <cell r="J77">
            <v>-217975</v>
          </cell>
        </row>
        <row r="78">
          <cell r="A78" t="str">
            <v>1-1-70-01-027  INTER. DIF. LEASING BRASIL 648 LP</v>
          </cell>
          <cell r="B78">
            <v>0</v>
          </cell>
          <cell r="C78">
            <v>167114</v>
          </cell>
          <cell r="D78">
            <v>0</v>
          </cell>
          <cell r="E78">
            <v>167114</v>
          </cell>
          <cell r="F78">
            <v>0</v>
          </cell>
          <cell r="G78">
            <v>167114</v>
          </cell>
          <cell r="H78">
            <v>0</v>
          </cell>
          <cell r="I78">
            <v>0</v>
          </cell>
          <cell r="J78">
            <v>-167114</v>
          </cell>
        </row>
        <row r="79">
          <cell r="A79" t="str">
            <v>1-1-70-01-028  INTER. DIF. LEASING VIAL 224 LP</v>
          </cell>
          <cell r="B79">
            <v>0</v>
          </cell>
          <cell r="C79">
            <v>199811</v>
          </cell>
          <cell r="D79">
            <v>0</v>
          </cell>
          <cell r="E79">
            <v>199811</v>
          </cell>
          <cell r="F79">
            <v>0</v>
          </cell>
          <cell r="G79">
            <v>199811</v>
          </cell>
          <cell r="H79">
            <v>0</v>
          </cell>
          <cell r="I79">
            <v>0</v>
          </cell>
          <cell r="J79">
            <v>-199811</v>
          </cell>
        </row>
        <row r="80">
          <cell r="A80" t="str">
            <v>1-1-70-01-029  INTER. DIF. LEASING TALCA COLIN LP</v>
          </cell>
          <cell r="B80">
            <v>0</v>
          </cell>
          <cell r="C80">
            <v>5626964</v>
          </cell>
          <cell r="D80">
            <v>0</v>
          </cell>
          <cell r="E80">
            <v>5626964</v>
          </cell>
          <cell r="F80">
            <v>0</v>
          </cell>
          <cell r="G80">
            <v>5626964</v>
          </cell>
          <cell r="H80">
            <v>0</v>
          </cell>
          <cell r="I80">
            <v>0</v>
          </cell>
          <cell r="J80">
            <v>-5626964</v>
          </cell>
        </row>
        <row r="81">
          <cell r="A81" t="str">
            <v>1-2-01-08-010  DEPREC. ACUM.  ACTIVOS EN LEASING</v>
          </cell>
          <cell r="B81">
            <v>428226299</v>
          </cell>
          <cell r="C81">
            <v>489401485</v>
          </cell>
          <cell r="D81">
            <v>0</v>
          </cell>
          <cell r="E81">
            <v>61175186</v>
          </cell>
          <cell r="F81">
            <v>0</v>
          </cell>
          <cell r="G81">
            <v>61175186</v>
          </cell>
          <cell r="H81">
            <v>0</v>
          </cell>
          <cell r="I81">
            <v>0</v>
          </cell>
          <cell r="J81">
            <v>-61175186</v>
          </cell>
        </row>
        <row r="82">
          <cell r="A82" t="str">
            <v>1-2-01-09-001  PROYECTOS</v>
          </cell>
          <cell r="B82">
            <v>4101292</v>
          </cell>
          <cell r="C82">
            <v>0</v>
          </cell>
          <cell r="D82">
            <v>4101292</v>
          </cell>
          <cell r="E82">
            <v>0</v>
          </cell>
          <cell r="F82">
            <v>4101292</v>
          </cell>
          <cell r="G82">
            <v>0</v>
          </cell>
          <cell r="H82">
            <v>0</v>
          </cell>
          <cell r="I82">
            <v>0</v>
          </cell>
          <cell r="J82">
            <v>4101292</v>
          </cell>
        </row>
        <row r="83">
          <cell r="A83" t="str">
            <v>1-2-02-01-001  DEP. ACUM. MUEBLES Y UTILES</v>
          </cell>
          <cell r="B83">
            <v>0</v>
          </cell>
          <cell r="C83">
            <v>428442</v>
          </cell>
          <cell r="D83">
            <v>0</v>
          </cell>
          <cell r="E83">
            <v>428442</v>
          </cell>
          <cell r="F83">
            <v>0</v>
          </cell>
          <cell r="G83">
            <v>428442</v>
          </cell>
          <cell r="H83">
            <v>0</v>
          </cell>
          <cell r="I83">
            <v>0</v>
          </cell>
          <cell r="J83">
            <v>-428442</v>
          </cell>
        </row>
        <row r="84">
          <cell r="A84" t="str">
            <v>1-2-02-02-001  DEP.ACUM. INSTALACIONES</v>
          </cell>
          <cell r="B84">
            <v>0</v>
          </cell>
          <cell r="C84">
            <v>14009</v>
          </cell>
          <cell r="D84">
            <v>0</v>
          </cell>
          <cell r="E84">
            <v>14009</v>
          </cell>
          <cell r="F84">
            <v>0</v>
          </cell>
          <cell r="G84">
            <v>14009</v>
          </cell>
          <cell r="H84">
            <v>0</v>
          </cell>
          <cell r="I84">
            <v>0</v>
          </cell>
          <cell r="J84">
            <v>-14009</v>
          </cell>
        </row>
        <row r="85">
          <cell r="A85" t="str">
            <v>1-2-02-05-001  DEP. ACUM. CONSTRUCCION PARRAL</v>
          </cell>
          <cell r="B85">
            <v>0</v>
          </cell>
          <cell r="C85">
            <v>390558</v>
          </cell>
          <cell r="D85">
            <v>0</v>
          </cell>
          <cell r="E85">
            <v>390558</v>
          </cell>
          <cell r="F85">
            <v>0</v>
          </cell>
          <cell r="G85">
            <v>390558</v>
          </cell>
          <cell r="H85">
            <v>0</v>
          </cell>
          <cell r="I85">
            <v>0</v>
          </cell>
          <cell r="J85">
            <v>-390558</v>
          </cell>
        </row>
        <row r="86">
          <cell r="A86" t="str">
            <v>1-2-02-05-002  DEP. ACUM. CONSTRUCCION LINARES</v>
          </cell>
          <cell r="B86">
            <v>0</v>
          </cell>
          <cell r="C86">
            <v>418936</v>
          </cell>
          <cell r="D86">
            <v>0</v>
          </cell>
          <cell r="E86">
            <v>418936</v>
          </cell>
          <cell r="F86">
            <v>0</v>
          </cell>
          <cell r="G86">
            <v>418936</v>
          </cell>
          <cell r="H86">
            <v>0</v>
          </cell>
          <cell r="I86">
            <v>0</v>
          </cell>
          <cell r="J86">
            <v>-418936</v>
          </cell>
        </row>
        <row r="87">
          <cell r="A87" t="str">
            <v>1-2-02-05-003  DEP. ACUM. CONSTRUCCION TALCA</v>
          </cell>
          <cell r="B87">
            <v>0</v>
          </cell>
          <cell r="C87">
            <v>1760097</v>
          </cell>
          <cell r="D87">
            <v>0</v>
          </cell>
          <cell r="E87">
            <v>1760097</v>
          </cell>
          <cell r="F87">
            <v>0</v>
          </cell>
          <cell r="G87">
            <v>1760097</v>
          </cell>
          <cell r="H87">
            <v>0</v>
          </cell>
          <cell r="I87">
            <v>0</v>
          </cell>
          <cell r="J87">
            <v>-1760097</v>
          </cell>
        </row>
        <row r="88">
          <cell r="A88" t="str">
            <v>1-2-02-05-004  DEP. ACUM. CONSTRUCCION RENCA</v>
          </cell>
          <cell r="B88">
            <v>0</v>
          </cell>
          <cell r="C88">
            <v>1099816</v>
          </cell>
          <cell r="D88">
            <v>0</v>
          </cell>
          <cell r="E88">
            <v>1099816</v>
          </cell>
          <cell r="F88">
            <v>0</v>
          </cell>
          <cell r="G88">
            <v>1099816</v>
          </cell>
          <cell r="H88">
            <v>0</v>
          </cell>
          <cell r="I88">
            <v>0</v>
          </cell>
          <cell r="J88">
            <v>-1099816</v>
          </cell>
        </row>
        <row r="89">
          <cell r="A89" t="str">
            <v>1-2-02-05-005  DEP. ACUM. CONSTRUCCION VICENTE VALDES</v>
          </cell>
          <cell r="B89">
            <v>0</v>
          </cell>
          <cell r="C89">
            <v>4413717</v>
          </cell>
          <cell r="D89">
            <v>0</v>
          </cell>
          <cell r="E89">
            <v>4413717</v>
          </cell>
          <cell r="F89">
            <v>0</v>
          </cell>
          <cell r="G89">
            <v>4413717</v>
          </cell>
          <cell r="H89">
            <v>0</v>
          </cell>
          <cell r="I89">
            <v>0</v>
          </cell>
          <cell r="J89">
            <v>-4413717</v>
          </cell>
        </row>
        <row r="90">
          <cell r="A90" t="str">
            <v>1-2-02-05-008  DEP. ACUM. CONSTRUCCION LOS MORROS</v>
          </cell>
          <cell r="B90">
            <v>0</v>
          </cell>
          <cell r="C90">
            <v>2418932</v>
          </cell>
          <cell r="D90">
            <v>0</v>
          </cell>
          <cell r="E90">
            <v>2418932</v>
          </cell>
          <cell r="F90">
            <v>0</v>
          </cell>
          <cell r="G90">
            <v>2418932</v>
          </cell>
          <cell r="H90">
            <v>0</v>
          </cell>
          <cell r="I90">
            <v>0</v>
          </cell>
          <cell r="J90">
            <v>-2418932</v>
          </cell>
        </row>
        <row r="91">
          <cell r="A91" t="str">
            <v>1-2-02-05-009  DEP. ACUM. CONSTRUCCION TALCA COLIN</v>
          </cell>
          <cell r="B91">
            <v>0</v>
          </cell>
          <cell r="C91">
            <v>4189948</v>
          </cell>
          <cell r="D91">
            <v>0</v>
          </cell>
          <cell r="E91">
            <v>4189948</v>
          </cell>
          <cell r="F91">
            <v>0</v>
          </cell>
          <cell r="G91">
            <v>4189948</v>
          </cell>
          <cell r="H91">
            <v>0</v>
          </cell>
          <cell r="I91">
            <v>0</v>
          </cell>
          <cell r="J91">
            <v>-4189948</v>
          </cell>
        </row>
        <row r="92">
          <cell r="A92" t="str">
            <v>1-2-02-05-010  DEP. ACUM. CONSTRUCCION TALAGANTE</v>
          </cell>
          <cell r="B92">
            <v>0</v>
          </cell>
          <cell r="C92">
            <v>1964956</v>
          </cell>
          <cell r="D92">
            <v>0</v>
          </cell>
          <cell r="E92">
            <v>1964956</v>
          </cell>
          <cell r="F92">
            <v>0</v>
          </cell>
          <cell r="G92">
            <v>1964956</v>
          </cell>
          <cell r="H92">
            <v>0</v>
          </cell>
          <cell r="I92">
            <v>0</v>
          </cell>
          <cell r="J92">
            <v>-1964956</v>
          </cell>
        </row>
        <row r="93">
          <cell r="A93" t="str">
            <v>1-2-02-05-011  DEP. ACUM. CONSTRUCCION J. ESPINOZA</v>
          </cell>
          <cell r="B93">
            <v>0</v>
          </cell>
          <cell r="C93">
            <v>1843619</v>
          </cell>
          <cell r="D93">
            <v>0</v>
          </cell>
          <cell r="E93">
            <v>1843619</v>
          </cell>
          <cell r="F93">
            <v>0</v>
          </cell>
          <cell r="G93">
            <v>1843619</v>
          </cell>
          <cell r="H93">
            <v>0</v>
          </cell>
          <cell r="I93">
            <v>0</v>
          </cell>
          <cell r="J93">
            <v>-1843619</v>
          </cell>
        </row>
        <row r="94">
          <cell r="A94" t="str">
            <v>1-2-02-05-019  DEPREC. ACUM. REÑACA NORTE</v>
          </cell>
          <cell r="B94">
            <v>0</v>
          </cell>
          <cell r="C94">
            <v>337009</v>
          </cell>
          <cell r="D94">
            <v>0</v>
          </cell>
          <cell r="E94">
            <v>337009</v>
          </cell>
          <cell r="F94">
            <v>0</v>
          </cell>
          <cell r="G94">
            <v>337009</v>
          </cell>
          <cell r="H94">
            <v>0</v>
          </cell>
          <cell r="I94">
            <v>0</v>
          </cell>
          <cell r="J94">
            <v>-337009</v>
          </cell>
        </row>
        <row r="95">
          <cell r="A95" t="str">
            <v>1-2-02-05-021  DEPRECACUM. PROY.GIMNASIO LINARES</v>
          </cell>
          <cell r="B95">
            <v>0</v>
          </cell>
          <cell r="C95">
            <v>2553228</v>
          </cell>
          <cell r="D95">
            <v>0</v>
          </cell>
          <cell r="E95">
            <v>2553228</v>
          </cell>
          <cell r="F95">
            <v>0</v>
          </cell>
          <cell r="G95">
            <v>2553228</v>
          </cell>
          <cell r="H95">
            <v>0</v>
          </cell>
          <cell r="I95">
            <v>0</v>
          </cell>
          <cell r="J95">
            <v>-2553228</v>
          </cell>
        </row>
        <row r="96">
          <cell r="A96" t="str">
            <v>1-2-02-05-027  DEP. ACUM. INM PELLUHUE</v>
          </cell>
          <cell r="B96">
            <v>0</v>
          </cell>
          <cell r="C96">
            <v>232908</v>
          </cell>
          <cell r="D96">
            <v>0</v>
          </cell>
          <cell r="E96">
            <v>232908</v>
          </cell>
          <cell r="F96">
            <v>0</v>
          </cell>
          <cell r="G96">
            <v>232908</v>
          </cell>
          <cell r="H96">
            <v>0</v>
          </cell>
          <cell r="I96">
            <v>0</v>
          </cell>
          <cell r="J96">
            <v>-232908</v>
          </cell>
        </row>
        <row r="97">
          <cell r="A97" t="str">
            <v>1-2-02-05-028  DEP. ACUM. INM. LOS MAITENES</v>
          </cell>
          <cell r="B97">
            <v>0</v>
          </cell>
          <cell r="C97">
            <v>2327996</v>
          </cell>
          <cell r="D97">
            <v>0</v>
          </cell>
          <cell r="E97">
            <v>2327996</v>
          </cell>
          <cell r="F97">
            <v>0</v>
          </cell>
          <cell r="G97">
            <v>2327996</v>
          </cell>
          <cell r="H97">
            <v>0</v>
          </cell>
          <cell r="I97">
            <v>0</v>
          </cell>
          <cell r="J97">
            <v>-2327996</v>
          </cell>
        </row>
        <row r="98">
          <cell r="A98" t="str">
            <v>1-2-02-05-030  DEP.ACUM. PROYECTO MULCHEN</v>
          </cell>
          <cell r="B98">
            <v>0</v>
          </cell>
          <cell r="C98">
            <v>4248305</v>
          </cell>
          <cell r="D98">
            <v>0</v>
          </cell>
          <cell r="E98">
            <v>4248305</v>
          </cell>
          <cell r="F98">
            <v>0</v>
          </cell>
          <cell r="G98">
            <v>4248305</v>
          </cell>
          <cell r="H98">
            <v>0</v>
          </cell>
          <cell r="I98">
            <v>0</v>
          </cell>
          <cell r="J98">
            <v>-4248305</v>
          </cell>
        </row>
        <row r="99">
          <cell r="A99" t="str">
            <v>1-2-02-05-603  DEP ACUMU EL TREBOL LINARES</v>
          </cell>
          <cell r="B99">
            <v>0</v>
          </cell>
          <cell r="C99">
            <v>2550018</v>
          </cell>
          <cell r="D99">
            <v>0</v>
          </cell>
          <cell r="E99">
            <v>2550018</v>
          </cell>
          <cell r="F99">
            <v>0</v>
          </cell>
          <cell r="G99">
            <v>2550018</v>
          </cell>
          <cell r="H99">
            <v>0</v>
          </cell>
          <cell r="I99">
            <v>0</v>
          </cell>
          <cell r="J99">
            <v>-2550018</v>
          </cell>
        </row>
        <row r="100">
          <cell r="A100" t="str">
            <v>1-2-02-06-001  DEP. ACUM. BIENES RAICES</v>
          </cell>
          <cell r="B100">
            <v>0</v>
          </cell>
          <cell r="C100">
            <v>3524944</v>
          </cell>
          <cell r="D100">
            <v>0</v>
          </cell>
          <cell r="E100">
            <v>3524944</v>
          </cell>
          <cell r="F100">
            <v>0</v>
          </cell>
          <cell r="G100">
            <v>3524944</v>
          </cell>
          <cell r="H100">
            <v>0</v>
          </cell>
          <cell r="I100">
            <v>0</v>
          </cell>
          <cell r="J100">
            <v>-3524944</v>
          </cell>
        </row>
        <row r="101">
          <cell r="A101" t="str">
            <v>1-3-01-02-003  BOLETA GARANTIAS LOCATARIOS (ORDEN)</v>
          </cell>
          <cell r="B101">
            <v>65759486</v>
          </cell>
          <cell r="C101">
            <v>65418759</v>
          </cell>
          <cell r="D101">
            <v>340727</v>
          </cell>
          <cell r="E101">
            <v>0</v>
          </cell>
          <cell r="F101">
            <v>340727</v>
          </cell>
          <cell r="G101">
            <v>0</v>
          </cell>
          <cell r="H101">
            <v>0</v>
          </cell>
          <cell r="I101">
            <v>0</v>
          </cell>
          <cell r="J101">
            <v>340727</v>
          </cell>
        </row>
        <row r="102">
          <cell r="A102" t="str">
            <v>1-3-04-01-002  RETENCIONES JUDICIALES CAUSAS</v>
          </cell>
          <cell r="B102">
            <v>0</v>
          </cell>
          <cell r="C102">
            <v>38265852</v>
          </cell>
          <cell r="D102">
            <v>0</v>
          </cell>
          <cell r="E102">
            <v>38265852</v>
          </cell>
          <cell r="F102">
            <v>0</v>
          </cell>
          <cell r="G102">
            <v>38265852</v>
          </cell>
          <cell r="H102">
            <v>0</v>
          </cell>
          <cell r="I102">
            <v>0</v>
          </cell>
          <cell r="J102">
            <v>-38265852</v>
          </cell>
        </row>
        <row r="103">
          <cell r="A103" t="str">
            <v>2-1-01-01-010  USO LINEA CRÉDITO BANCO SANTANDER</v>
          </cell>
          <cell r="B103">
            <v>414816791</v>
          </cell>
          <cell r="C103">
            <v>374091470</v>
          </cell>
          <cell r="D103">
            <v>40725321</v>
          </cell>
          <cell r="E103">
            <v>0</v>
          </cell>
          <cell r="F103">
            <v>40725321</v>
          </cell>
          <cell r="G103">
            <v>0</v>
          </cell>
          <cell r="H103">
            <v>0</v>
          </cell>
          <cell r="I103">
            <v>0</v>
          </cell>
          <cell r="J103">
            <v>-40725321</v>
          </cell>
        </row>
        <row r="104">
          <cell r="A104" t="str">
            <v>2-1-01-01-011  USO LINEA CREDITO BANCO BCI</v>
          </cell>
          <cell r="B104">
            <v>135634887</v>
          </cell>
          <cell r="C104">
            <v>76630880</v>
          </cell>
          <cell r="D104">
            <v>59004007</v>
          </cell>
          <cell r="E104">
            <v>0</v>
          </cell>
          <cell r="F104">
            <v>59004007</v>
          </cell>
          <cell r="G104">
            <v>0</v>
          </cell>
          <cell r="H104">
            <v>0</v>
          </cell>
          <cell r="I104">
            <v>0</v>
          </cell>
          <cell r="J104">
            <v>-59004007</v>
          </cell>
        </row>
        <row r="105">
          <cell r="A105" t="str">
            <v>2-1-01-01-014  PRESTAMO  BCO INTERNACIONAL CP M$1.000</v>
          </cell>
          <cell r="B105">
            <v>0</v>
          </cell>
          <cell r="C105">
            <v>183747948</v>
          </cell>
          <cell r="D105">
            <v>0</v>
          </cell>
          <cell r="E105">
            <v>183747948</v>
          </cell>
          <cell r="F105">
            <v>0</v>
          </cell>
          <cell r="G105">
            <v>183747948</v>
          </cell>
          <cell r="H105">
            <v>0</v>
          </cell>
          <cell r="I105">
            <v>0</v>
          </cell>
          <cell r="J105">
            <v>183747948</v>
          </cell>
        </row>
        <row r="106">
          <cell r="A106" t="str">
            <v>2-1-01-02-001  OBLIG. LEASING 1 SUR 1990 C/PLAZO</v>
          </cell>
          <cell r="B106">
            <v>8136840</v>
          </cell>
          <cell r="C106">
            <v>0</v>
          </cell>
          <cell r="D106">
            <v>8136840</v>
          </cell>
          <cell r="E106">
            <v>0</v>
          </cell>
          <cell r="F106">
            <v>8136840</v>
          </cell>
          <cell r="G106">
            <v>0</v>
          </cell>
          <cell r="H106">
            <v>0</v>
          </cell>
          <cell r="I106">
            <v>0</v>
          </cell>
          <cell r="J106">
            <v>-8136840</v>
          </cell>
        </row>
        <row r="107">
          <cell r="A107" t="str">
            <v>2-1-01-02-002  OBLIG. LEASING SAN JAVIER C/PLAZO</v>
          </cell>
          <cell r="B107">
            <v>6996343</v>
          </cell>
          <cell r="C107">
            <v>0</v>
          </cell>
          <cell r="D107">
            <v>6996343</v>
          </cell>
          <cell r="E107">
            <v>0</v>
          </cell>
          <cell r="F107">
            <v>6996343</v>
          </cell>
          <cell r="G107">
            <v>0</v>
          </cell>
          <cell r="H107">
            <v>0</v>
          </cell>
          <cell r="I107">
            <v>0</v>
          </cell>
          <cell r="J107">
            <v>-6996343</v>
          </cell>
        </row>
        <row r="108">
          <cell r="A108" t="str">
            <v>2-1-01-02-003  OBLIG. LEASING COLIN 0240 TALCA</v>
          </cell>
          <cell r="B108">
            <v>13168115</v>
          </cell>
          <cell r="C108">
            <v>0</v>
          </cell>
          <cell r="D108">
            <v>13168115</v>
          </cell>
          <cell r="E108">
            <v>0</v>
          </cell>
          <cell r="F108">
            <v>13168115</v>
          </cell>
          <cell r="G108">
            <v>0</v>
          </cell>
          <cell r="H108">
            <v>0</v>
          </cell>
          <cell r="I108">
            <v>0</v>
          </cell>
          <cell r="J108">
            <v>-13168115</v>
          </cell>
        </row>
        <row r="109">
          <cell r="A109" t="str">
            <v>2-1-01-02-004  OBLIG. LEASING C. SATELITE C/PLAZO</v>
          </cell>
          <cell r="B109">
            <v>19359476</v>
          </cell>
          <cell r="C109">
            <v>0</v>
          </cell>
          <cell r="D109">
            <v>19359476</v>
          </cell>
          <cell r="E109">
            <v>0</v>
          </cell>
          <cell r="F109">
            <v>19359476</v>
          </cell>
          <cell r="G109">
            <v>0</v>
          </cell>
          <cell r="H109">
            <v>0</v>
          </cell>
          <cell r="I109">
            <v>0</v>
          </cell>
          <cell r="J109">
            <v>-19359476</v>
          </cell>
        </row>
        <row r="110">
          <cell r="A110" t="str">
            <v>2-1-01-02-005  OBLIG. LEASING 11 ORIENTE C/PLAZO</v>
          </cell>
          <cell r="B110">
            <v>6611844</v>
          </cell>
          <cell r="C110">
            <v>6143891</v>
          </cell>
          <cell r="D110">
            <v>467953</v>
          </cell>
          <cell r="E110">
            <v>0</v>
          </cell>
          <cell r="F110">
            <v>467953</v>
          </cell>
          <cell r="G110">
            <v>0</v>
          </cell>
          <cell r="H110">
            <v>0</v>
          </cell>
          <cell r="I110">
            <v>0</v>
          </cell>
          <cell r="J110">
            <v>-467953</v>
          </cell>
        </row>
        <row r="111">
          <cell r="A111" t="str">
            <v>2-1-01-02-006  OBLIG. LEASING MAIPU 556 C/PLAZO</v>
          </cell>
          <cell r="B111">
            <v>5851688</v>
          </cell>
          <cell r="C111">
            <v>5437534</v>
          </cell>
          <cell r="D111">
            <v>414154</v>
          </cell>
          <cell r="E111">
            <v>0</v>
          </cell>
          <cell r="F111">
            <v>414154</v>
          </cell>
          <cell r="G111">
            <v>0</v>
          </cell>
          <cell r="H111">
            <v>0</v>
          </cell>
          <cell r="I111">
            <v>0</v>
          </cell>
          <cell r="J111">
            <v>-414154</v>
          </cell>
        </row>
        <row r="112">
          <cell r="A112" t="str">
            <v>2-1-01-02-007  OBLIG. LEASING BRASIL 648 C/PLAZO</v>
          </cell>
          <cell r="B112">
            <v>4486294</v>
          </cell>
          <cell r="C112">
            <v>4168776</v>
          </cell>
          <cell r="D112">
            <v>317518</v>
          </cell>
          <cell r="E112">
            <v>0</v>
          </cell>
          <cell r="F112">
            <v>317518</v>
          </cell>
          <cell r="G112">
            <v>0</v>
          </cell>
          <cell r="H112">
            <v>0</v>
          </cell>
          <cell r="I112">
            <v>0</v>
          </cell>
          <cell r="J112">
            <v>-317518</v>
          </cell>
        </row>
        <row r="113">
          <cell r="A113" t="str">
            <v>2-1-01-02-008  OBLIG. LEASING VIAL 224 C/PLAZO</v>
          </cell>
          <cell r="B113">
            <v>5364047</v>
          </cell>
          <cell r="C113">
            <v>4984407</v>
          </cell>
          <cell r="D113">
            <v>379640</v>
          </cell>
          <cell r="E113">
            <v>0</v>
          </cell>
          <cell r="F113">
            <v>379640</v>
          </cell>
          <cell r="G113">
            <v>0</v>
          </cell>
          <cell r="H113">
            <v>0</v>
          </cell>
          <cell r="I113">
            <v>0</v>
          </cell>
          <cell r="J113">
            <v>-379640</v>
          </cell>
        </row>
        <row r="114">
          <cell r="A114" t="str">
            <v>2-1-01-02-009  OBLIG. LEASING TALCA COLIN C/PLAZO</v>
          </cell>
          <cell r="B114">
            <v>48533762</v>
          </cell>
          <cell r="C114">
            <v>44731887</v>
          </cell>
          <cell r="D114">
            <v>3801875</v>
          </cell>
          <cell r="E114">
            <v>0</v>
          </cell>
          <cell r="F114">
            <v>3801875</v>
          </cell>
          <cell r="G114">
            <v>0</v>
          </cell>
          <cell r="H114">
            <v>0</v>
          </cell>
          <cell r="I114">
            <v>0</v>
          </cell>
          <cell r="J114">
            <v>-3801875</v>
          </cell>
        </row>
        <row r="115">
          <cell r="A115" t="str">
            <v>2-1-01-02-010  OBLIG. HIPOTECARIO C/PLAZO</v>
          </cell>
          <cell r="B115">
            <v>15846194</v>
          </cell>
          <cell r="C115">
            <v>0</v>
          </cell>
          <cell r="D115">
            <v>15846194</v>
          </cell>
          <cell r="E115">
            <v>0</v>
          </cell>
          <cell r="F115">
            <v>15846194</v>
          </cell>
          <cell r="G115">
            <v>0</v>
          </cell>
          <cell r="H115">
            <v>0</v>
          </cell>
          <cell r="I115">
            <v>0</v>
          </cell>
          <cell r="J115">
            <v>-15846194</v>
          </cell>
        </row>
        <row r="116">
          <cell r="A116" t="str">
            <v>2-1-01-02-011  OBLIG.LEASING VALPO  C/P</v>
          </cell>
          <cell r="B116">
            <v>24324107</v>
          </cell>
          <cell r="C116">
            <v>26008831</v>
          </cell>
          <cell r="D116">
            <v>0</v>
          </cell>
          <cell r="E116">
            <v>1684724</v>
          </cell>
          <cell r="F116">
            <v>0</v>
          </cell>
          <cell r="G116">
            <v>1684724</v>
          </cell>
          <cell r="H116">
            <v>0</v>
          </cell>
          <cell r="I116">
            <v>0</v>
          </cell>
          <cell r="J116">
            <v>1684724</v>
          </cell>
        </row>
        <row r="117">
          <cell r="A117" t="str">
            <v>2-1-01-02-012  OBLIG.LEASING CAUQUENES C/P</v>
          </cell>
          <cell r="B117">
            <v>9154360</v>
          </cell>
          <cell r="C117">
            <v>9857530</v>
          </cell>
          <cell r="D117">
            <v>0</v>
          </cell>
          <cell r="E117">
            <v>703170</v>
          </cell>
          <cell r="F117">
            <v>0</v>
          </cell>
          <cell r="G117">
            <v>703170</v>
          </cell>
          <cell r="H117">
            <v>0</v>
          </cell>
          <cell r="I117">
            <v>0</v>
          </cell>
          <cell r="J117">
            <v>703170</v>
          </cell>
        </row>
        <row r="118">
          <cell r="A118" t="str">
            <v>2-1-01-02-013  OBLIG. LEASING OUTLET C/P</v>
          </cell>
          <cell r="B118">
            <v>67687181</v>
          </cell>
          <cell r="C118">
            <v>74961961</v>
          </cell>
          <cell r="D118">
            <v>0</v>
          </cell>
          <cell r="E118">
            <v>7274780</v>
          </cell>
          <cell r="F118">
            <v>0</v>
          </cell>
          <cell r="G118">
            <v>7274780</v>
          </cell>
          <cell r="H118">
            <v>0</v>
          </cell>
          <cell r="I118">
            <v>0</v>
          </cell>
          <cell r="J118">
            <v>7274780</v>
          </cell>
        </row>
        <row r="119">
          <cell r="A119" t="str">
            <v>2-1-01-02-014  OBLIG HIPOTECARIO LOS MORRO CP</v>
          </cell>
          <cell r="B119">
            <v>34595449</v>
          </cell>
          <cell r="C119">
            <v>36677193</v>
          </cell>
          <cell r="D119">
            <v>0</v>
          </cell>
          <cell r="E119">
            <v>2081744</v>
          </cell>
          <cell r="F119">
            <v>0</v>
          </cell>
          <cell r="G119">
            <v>2081744</v>
          </cell>
          <cell r="H119">
            <v>0</v>
          </cell>
          <cell r="I119">
            <v>0</v>
          </cell>
          <cell r="J119">
            <v>2081744</v>
          </cell>
        </row>
        <row r="120">
          <cell r="A120" t="str">
            <v>2-1-01-03-002  OBLIG LEASING VEHICULOS  CP 2</v>
          </cell>
          <cell r="B120">
            <v>3535589</v>
          </cell>
          <cell r="C120">
            <v>855560</v>
          </cell>
          <cell r="D120">
            <v>2680029</v>
          </cell>
          <cell r="E120">
            <v>0</v>
          </cell>
          <cell r="F120">
            <v>2680029</v>
          </cell>
          <cell r="G120">
            <v>0</v>
          </cell>
          <cell r="H120">
            <v>0</v>
          </cell>
          <cell r="I120">
            <v>0</v>
          </cell>
          <cell r="J120">
            <v>-2680029</v>
          </cell>
        </row>
        <row r="121">
          <cell r="A121" t="str">
            <v>2-1-02-01-005  MUTUOS POR PAGAR</v>
          </cell>
          <cell r="B121">
            <v>0</v>
          </cell>
          <cell r="C121">
            <v>13824104</v>
          </cell>
          <cell r="D121">
            <v>0</v>
          </cell>
          <cell r="E121">
            <v>13824104</v>
          </cell>
          <cell r="F121">
            <v>0</v>
          </cell>
          <cell r="G121">
            <v>13824104</v>
          </cell>
          <cell r="H121">
            <v>0</v>
          </cell>
          <cell r="I121">
            <v>0</v>
          </cell>
          <cell r="J121">
            <v>13824104</v>
          </cell>
        </row>
        <row r="122">
          <cell r="A122" t="str">
            <v>2-1-02-01-008  REMUNERACIONES POR PAGAR (2)</v>
          </cell>
          <cell r="B122">
            <v>97321336</v>
          </cell>
          <cell r="C122">
            <v>97321336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</row>
        <row r="123">
          <cell r="A123" t="str">
            <v>2-1-02-01-009  CUENTA POR PAGAR INVERSIONES NUEVA SANTA FIDELMIRA LIMITADA</v>
          </cell>
          <cell r="B123">
            <v>14467298</v>
          </cell>
          <cell r="C123">
            <v>37597332</v>
          </cell>
          <cell r="D123">
            <v>0</v>
          </cell>
          <cell r="E123">
            <v>23130034</v>
          </cell>
          <cell r="F123">
            <v>0</v>
          </cell>
          <cell r="G123">
            <v>23130034</v>
          </cell>
          <cell r="H123">
            <v>0</v>
          </cell>
          <cell r="I123">
            <v>0</v>
          </cell>
          <cell r="J123">
            <v>23130034</v>
          </cell>
        </row>
        <row r="124">
          <cell r="A124" t="str">
            <v>2-1-02-01-010  Cuenta por pagar Constructora ERG</v>
          </cell>
          <cell r="B124">
            <v>0</v>
          </cell>
          <cell r="C124">
            <v>80000</v>
          </cell>
          <cell r="D124">
            <v>0</v>
          </cell>
          <cell r="E124">
            <v>80000</v>
          </cell>
          <cell r="F124">
            <v>0</v>
          </cell>
          <cell r="G124">
            <v>80000</v>
          </cell>
          <cell r="H124">
            <v>0</v>
          </cell>
          <cell r="I124">
            <v>0</v>
          </cell>
          <cell r="J124">
            <v>80000</v>
          </cell>
        </row>
        <row r="125">
          <cell r="A125" t="str">
            <v>2-1-03-01-001  GARANTIAS RECIBIDAS ARRENDATARIOS (CLP)</v>
          </cell>
          <cell r="B125">
            <v>259518</v>
          </cell>
          <cell r="C125">
            <v>0</v>
          </cell>
          <cell r="D125">
            <v>259518</v>
          </cell>
          <cell r="E125">
            <v>0</v>
          </cell>
          <cell r="F125">
            <v>259518</v>
          </cell>
          <cell r="G125">
            <v>0</v>
          </cell>
          <cell r="H125">
            <v>0</v>
          </cell>
          <cell r="I125">
            <v>0</v>
          </cell>
          <cell r="J125">
            <v>-259518</v>
          </cell>
        </row>
        <row r="126">
          <cell r="A126" t="str">
            <v>2-1-03-01-002  GARANTIAS RECIBIDAS ARRENDATARIOS (UF)</v>
          </cell>
          <cell r="B126">
            <v>201648976</v>
          </cell>
          <cell r="C126">
            <v>202374214</v>
          </cell>
          <cell r="D126">
            <v>0</v>
          </cell>
          <cell r="E126">
            <v>725238</v>
          </cell>
          <cell r="F126">
            <v>0</v>
          </cell>
          <cell r="G126">
            <v>725238</v>
          </cell>
          <cell r="H126">
            <v>0</v>
          </cell>
          <cell r="I126">
            <v>0</v>
          </cell>
          <cell r="J126">
            <v>725238</v>
          </cell>
        </row>
        <row r="127">
          <cell r="A127" t="str">
            <v>2-1-03-01-008  CTA X PAGAR ISF DOLAR</v>
          </cell>
          <cell r="B127">
            <v>27151425</v>
          </cell>
          <cell r="C127">
            <v>0</v>
          </cell>
          <cell r="D127">
            <v>27151425</v>
          </cell>
          <cell r="E127">
            <v>0</v>
          </cell>
          <cell r="F127">
            <v>27151425</v>
          </cell>
          <cell r="G127">
            <v>0</v>
          </cell>
          <cell r="H127">
            <v>0</v>
          </cell>
          <cell r="I127">
            <v>0</v>
          </cell>
          <cell r="J127">
            <v>-27151425</v>
          </cell>
        </row>
        <row r="128">
          <cell r="A128" t="str">
            <v>2-1-03-01-009  BOLETA GARANTIAS LOCATARIOS (ORDEN)</v>
          </cell>
          <cell r="B128">
            <v>65418759</v>
          </cell>
          <cell r="C128">
            <v>65759486</v>
          </cell>
          <cell r="D128">
            <v>0</v>
          </cell>
          <cell r="E128">
            <v>340727</v>
          </cell>
          <cell r="F128">
            <v>0</v>
          </cell>
          <cell r="G128">
            <v>340727</v>
          </cell>
          <cell r="H128">
            <v>0</v>
          </cell>
          <cell r="I128">
            <v>0</v>
          </cell>
          <cell r="J128">
            <v>340727</v>
          </cell>
        </row>
        <row r="129">
          <cell r="A129" t="str">
            <v>2-1-03-02-001  ANTICIPO DE CLIENTES</v>
          </cell>
          <cell r="B129">
            <v>18508242</v>
          </cell>
          <cell r="C129">
            <v>16290676</v>
          </cell>
          <cell r="D129">
            <v>2217566</v>
          </cell>
          <cell r="E129">
            <v>0</v>
          </cell>
          <cell r="F129">
            <v>2217566</v>
          </cell>
          <cell r="G129">
            <v>0</v>
          </cell>
          <cell r="H129">
            <v>0</v>
          </cell>
          <cell r="I129">
            <v>0</v>
          </cell>
          <cell r="J129">
            <v>-2217566</v>
          </cell>
        </row>
        <row r="130">
          <cell r="A130" t="str">
            <v>2-1-04-01-001  IVA DEBITO FISCAL</v>
          </cell>
          <cell r="B130">
            <v>163017799</v>
          </cell>
          <cell r="C130">
            <v>163017799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</row>
        <row r="131">
          <cell r="A131" t="str">
            <v>2-1-04-01-002  IMPUESTO UNICO</v>
          </cell>
          <cell r="B131">
            <v>36805900</v>
          </cell>
          <cell r="C131">
            <v>36899599</v>
          </cell>
          <cell r="D131">
            <v>0</v>
          </cell>
          <cell r="E131">
            <v>93699</v>
          </cell>
          <cell r="F131">
            <v>0</v>
          </cell>
          <cell r="G131">
            <v>93699</v>
          </cell>
          <cell r="H131">
            <v>0</v>
          </cell>
          <cell r="I131">
            <v>0</v>
          </cell>
          <cell r="J131">
            <v>93699</v>
          </cell>
        </row>
        <row r="132">
          <cell r="A132" t="str">
            <v>2-1-04-01-003  IMPUESTO 2° CATEGORIA</v>
          </cell>
          <cell r="B132">
            <v>1293267</v>
          </cell>
          <cell r="C132">
            <v>1617419</v>
          </cell>
          <cell r="D132">
            <v>0</v>
          </cell>
          <cell r="E132">
            <v>324152</v>
          </cell>
          <cell r="F132">
            <v>0</v>
          </cell>
          <cell r="G132">
            <v>324152</v>
          </cell>
          <cell r="H132">
            <v>0</v>
          </cell>
          <cell r="I132">
            <v>0</v>
          </cell>
          <cell r="J132">
            <v>324152</v>
          </cell>
        </row>
        <row r="133">
          <cell r="A133" t="str">
            <v>2-1-04-01-004  IMPUESTOS POR PAGAR</v>
          </cell>
          <cell r="B133">
            <v>0</v>
          </cell>
          <cell r="C133">
            <v>58650</v>
          </cell>
          <cell r="D133">
            <v>0</v>
          </cell>
          <cell r="E133">
            <v>58650</v>
          </cell>
          <cell r="F133">
            <v>0</v>
          </cell>
          <cell r="G133">
            <v>58650</v>
          </cell>
          <cell r="H133">
            <v>0</v>
          </cell>
          <cell r="I133">
            <v>0</v>
          </cell>
          <cell r="J133">
            <v>58650</v>
          </cell>
        </row>
        <row r="134">
          <cell r="A134" t="str">
            <v>2-1-04-01-005  IMPOSICIONES POR PAGAR</v>
          </cell>
          <cell r="B134">
            <v>11135624</v>
          </cell>
          <cell r="C134">
            <v>11814756</v>
          </cell>
          <cell r="D134">
            <v>0</v>
          </cell>
          <cell r="E134">
            <v>679132</v>
          </cell>
          <cell r="F134">
            <v>0</v>
          </cell>
          <cell r="G134">
            <v>679132</v>
          </cell>
          <cell r="H134">
            <v>0</v>
          </cell>
          <cell r="I134">
            <v>0</v>
          </cell>
          <cell r="J134">
            <v>679132</v>
          </cell>
        </row>
        <row r="135">
          <cell r="A135" t="str">
            <v>2-1-06-01-001  PROVEEDORES 2</v>
          </cell>
          <cell r="B135">
            <v>1194834016</v>
          </cell>
          <cell r="C135">
            <v>1250301233</v>
          </cell>
          <cell r="D135">
            <v>0</v>
          </cell>
          <cell r="E135">
            <v>55467217</v>
          </cell>
          <cell r="F135">
            <v>0</v>
          </cell>
          <cell r="G135">
            <v>55467217</v>
          </cell>
          <cell r="H135">
            <v>0</v>
          </cell>
          <cell r="I135">
            <v>0</v>
          </cell>
          <cell r="J135">
            <v>55467217</v>
          </cell>
        </row>
        <row r="136">
          <cell r="A136" t="str">
            <v>2-1-06-01-002  HONORARIOS POR PAGAR 2</v>
          </cell>
          <cell r="B136">
            <v>12204220</v>
          </cell>
          <cell r="C136">
            <v>9592710</v>
          </cell>
          <cell r="D136">
            <v>2611510</v>
          </cell>
          <cell r="E136">
            <v>0</v>
          </cell>
          <cell r="F136">
            <v>2611510</v>
          </cell>
          <cell r="G136">
            <v>0</v>
          </cell>
          <cell r="H136">
            <v>0</v>
          </cell>
          <cell r="I136">
            <v>0</v>
          </cell>
          <cell r="J136">
            <v>-2611510</v>
          </cell>
        </row>
        <row r="137">
          <cell r="A137" t="str">
            <v>2-1-06-01-006  CHEQUES GIRADOS POR PAGAR 2</v>
          </cell>
          <cell r="B137">
            <v>13206035</v>
          </cell>
          <cell r="C137">
            <v>8607949</v>
          </cell>
          <cell r="D137">
            <v>4598086</v>
          </cell>
          <cell r="E137">
            <v>0</v>
          </cell>
          <cell r="F137">
            <v>4598086</v>
          </cell>
          <cell r="G137">
            <v>0</v>
          </cell>
          <cell r="H137">
            <v>0</v>
          </cell>
          <cell r="I137">
            <v>0</v>
          </cell>
          <cell r="J137">
            <v>-4598086</v>
          </cell>
        </row>
        <row r="138">
          <cell r="A138" t="str">
            <v>2-1-06-01-007  SEGURO SALUD COMPLEMENTARIO</v>
          </cell>
          <cell r="B138">
            <v>295373</v>
          </cell>
          <cell r="C138">
            <v>295373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2-2-01-01-005  PRESTAMO  BCO INTERNACIONAL LP M$1.000</v>
          </cell>
          <cell r="B139">
            <v>0</v>
          </cell>
          <cell r="C139">
            <v>1102487672</v>
          </cell>
          <cell r="D139">
            <v>0</v>
          </cell>
          <cell r="E139">
            <v>1102487672</v>
          </cell>
          <cell r="F139">
            <v>0</v>
          </cell>
          <cell r="G139">
            <v>1102487672</v>
          </cell>
          <cell r="H139">
            <v>0</v>
          </cell>
          <cell r="I139">
            <v>0</v>
          </cell>
          <cell r="J139">
            <v>1102487672</v>
          </cell>
        </row>
        <row r="140">
          <cell r="A140" t="str">
            <v>2-2-01-02-005  OBLIG. LEASING 11 ORIENTE 1550 L/PLAZO</v>
          </cell>
          <cell r="B140">
            <v>6858135</v>
          </cell>
          <cell r="C140">
            <v>0</v>
          </cell>
          <cell r="D140">
            <v>6858135</v>
          </cell>
          <cell r="E140">
            <v>0</v>
          </cell>
          <cell r="F140">
            <v>6858135</v>
          </cell>
          <cell r="G140">
            <v>0</v>
          </cell>
          <cell r="H140">
            <v>0</v>
          </cell>
          <cell r="I140">
            <v>0</v>
          </cell>
          <cell r="J140">
            <v>-6858135</v>
          </cell>
        </row>
        <row r="141">
          <cell r="A141" t="str">
            <v>2-2-01-02-006  OBLIG. LEASING MAIPU 556 L/PLAZO</v>
          </cell>
          <cell r="B141">
            <v>6069662</v>
          </cell>
          <cell r="C141">
            <v>0</v>
          </cell>
          <cell r="D141">
            <v>6069662</v>
          </cell>
          <cell r="E141">
            <v>0</v>
          </cell>
          <cell r="F141">
            <v>6069662</v>
          </cell>
          <cell r="G141">
            <v>0</v>
          </cell>
          <cell r="H141">
            <v>0</v>
          </cell>
          <cell r="I141">
            <v>0</v>
          </cell>
          <cell r="J141">
            <v>-6069662</v>
          </cell>
        </row>
        <row r="142">
          <cell r="A142" t="str">
            <v>2-2-01-02-007  OBLIG. LEASING BRASIL 648 L/PLAZO</v>
          </cell>
          <cell r="B142">
            <v>4653408</v>
          </cell>
          <cell r="C142">
            <v>0</v>
          </cell>
          <cell r="D142">
            <v>4653408</v>
          </cell>
          <cell r="E142">
            <v>0</v>
          </cell>
          <cell r="F142">
            <v>4653408</v>
          </cell>
          <cell r="G142">
            <v>0</v>
          </cell>
          <cell r="H142">
            <v>0</v>
          </cell>
          <cell r="I142">
            <v>0</v>
          </cell>
          <cell r="J142">
            <v>-4653408</v>
          </cell>
        </row>
        <row r="143">
          <cell r="A143" t="str">
            <v>2-2-01-02-008  OBLIG. LEASING VIAL 224 L/PLAZO</v>
          </cell>
          <cell r="B143">
            <v>5563858</v>
          </cell>
          <cell r="C143">
            <v>0</v>
          </cell>
          <cell r="D143">
            <v>5563858</v>
          </cell>
          <cell r="E143">
            <v>0</v>
          </cell>
          <cell r="F143">
            <v>5563858</v>
          </cell>
          <cell r="G143">
            <v>0</v>
          </cell>
          <cell r="H143">
            <v>0</v>
          </cell>
          <cell r="I143">
            <v>0</v>
          </cell>
          <cell r="J143">
            <v>-5563858</v>
          </cell>
        </row>
        <row r="144">
          <cell r="A144" t="str">
            <v>2-2-01-02-009  OBLIG. LEASING TALCA COLIN L/PLAZO</v>
          </cell>
          <cell r="B144">
            <v>54160726</v>
          </cell>
          <cell r="C144">
            <v>0</v>
          </cell>
          <cell r="D144">
            <v>54160726</v>
          </cell>
          <cell r="E144">
            <v>0</v>
          </cell>
          <cell r="F144">
            <v>54160726</v>
          </cell>
          <cell r="G144">
            <v>0</v>
          </cell>
          <cell r="H144">
            <v>0</v>
          </cell>
          <cell r="I144">
            <v>0</v>
          </cell>
          <cell r="J144">
            <v>-54160726</v>
          </cell>
        </row>
        <row r="145">
          <cell r="A145" t="str">
            <v>2-2-01-02-010  OBLIG.LEASING  VALPO L/P</v>
          </cell>
          <cell r="B145">
            <v>15510776</v>
          </cell>
          <cell r="C145">
            <v>0</v>
          </cell>
          <cell r="D145">
            <v>15510776</v>
          </cell>
          <cell r="E145">
            <v>0</v>
          </cell>
          <cell r="F145">
            <v>15510776</v>
          </cell>
          <cell r="G145">
            <v>0</v>
          </cell>
          <cell r="H145">
            <v>0</v>
          </cell>
          <cell r="I145">
            <v>0</v>
          </cell>
          <cell r="J145">
            <v>-15510776</v>
          </cell>
        </row>
        <row r="146">
          <cell r="A146" t="str">
            <v>2-2-01-02-011  OBLIG.LEASING CAUQUENES  L/P</v>
          </cell>
          <cell r="B146">
            <v>6677041</v>
          </cell>
          <cell r="C146">
            <v>0</v>
          </cell>
          <cell r="D146">
            <v>6677041</v>
          </cell>
          <cell r="E146">
            <v>0</v>
          </cell>
          <cell r="F146">
            <v>6677041</v>
          </cell>
          <cell r="G146">
            <v>0</v>
          </cell>
          <cell r="H146">
            <v>0</v>
          </cell>
          <cell r="I146">
            <v>0</v>
          </cell>
          <cell r="J146">
            <v>-6677041</v>
          </cell>
        </row>
        <row r="147">
          <cell r="A147" t="str">
            <v>2-2-01-02-012  OBLIGAC. LEASING OUTLET L/P</v>
          </cell>
          <cell r="B147">
            <v>10597494</v>
          </cell>
          <cell r="C147">
            <v>0</v>
          </cell>
          <cell r="D147">
            <v>10597494</v>
          </cell>
          <cell r="E147">
            <v>0</v>
          </cell>
          <cell r="F147">
            <v>10597494</v>
          </cell>
          <cell r="G147">
            <v>0</v>
          </cell>
          <cell r="H147">
            <v>0</v>
          </cell>
          <cell r="I147">
            <v>0</v>
          </cell>
          <cell r="J147">
            <v>-10597494</v>
          </cell>
        </row>
        <row r="148">
          <cell r="A148" t="str">
            <v>2-2-01-02-013  OBLIG LEASING VEHICULOS LP</v>
          </cell>
          <cell r="B148">
            <v>682298</v>
          </cell>
          <cell r="C148">
            <v>0</v>
          </cell>
          <cell r="D148">
            <v>682298</v>
          </cell>
          <cell r="E148">
            <v>0</v>
          </cell>
          <cell r="F148">
            <v>682298</v>
          </cell>
          <cell r="G148">
            <v>0</v>
          </cell>
          <cell r="H148">
            <v>0</v>
          </cell>
          <cell r="I148">
            <v>0</v>
          </cell>
          <cell r="J148">
            <v>-682298</v>
          </cell>
        </row>
        <row r="149">
          <cell r="A149" t="str">
            <v>2-2-01-02-014  OBLIG HIPOTECARIO LOS MORRO LP</v>
          </cell>
          <cell r="B149">
            <v>7632513</v>
          </cell>
          <cell r="C149">
            <v>0</v>
          </cell>
          <cell r="D149">
            <v>7632513</v>
          </cell>
          <cell r="E149">
            <v>0</v>
          </cell>
          <cell r="F149">
            <v>7632513</v>
          </cell>
          <cell r="G149">
            <v>0</v>
          </cell>
          <cell r="H149">
            <v>0</v>
          </cell>
          <cell r="I149">
            <v>0</v>
          </cell>
          <cell r="J149">
            <v>-7632513</v>
          </cell>
        </row>
        <row r="150">
          <cell r="A150" t="str">
            <v>3-2-01-01-002  RESULTADOS ACUMULADOS</v>
          </cell>
          <cell r="B150">
            <v>201816341</v>
          </cell>
          <cell r="C150">
            <v>199717451</v>
          </cell>
          <cell r="D150">
            <v>2098890</v>
          </cell>
          <cell r="E150">
            <v>0</v>
          </cell>
          <cell r="F150">
            <v>2098890</v>
          </cell>
          <cell r="G150">
            <v>0</v>
          </cell>
          <cell r="H150">
            <v>0</v>
          </cell>
          <cell r="I150">
            <v>0</v>
          </cell>
          <cell r="J150">
            <v>-2098890</v>
          </cell>
        </row>
        <row r="151">
          <cell r="A151" t="str">
            <v>4-1-01-01-001  ARRIENDO FIJO</v>
          </cell>
          <cell r="B151">
            <v>6227107</v>
          </cell>
          <cell r="C151">
            <v>813248232</v>
          </cell>
          <cell r="D151">
            <v>0</v>
          </cell>
          <cell r="E151">
            <v>807021125</v>
          </cell>
          <cell r="F151">
            <v>0</v>
          </cell>
          <cell r="G151">
            <v>0</v>
          </cell>
          <cell r="H151">
            <v>0</v>
          </cell>
          <cell r="I151">
            <v>807021125</v>
          </cell>
          <cell r="J151">
            <v>807021125</v>
          </cell>
        </row>
        <row r="152">
          <cell r="A152" t="str">
            <v>4-1-01-01-002  ARRIENDO VARIABLE</v>
          </cell>
          <cell r="B152">
            <v>118086338</v>
          </cell>
          <cell r="C152">
            <v>250919800</v>
          </cell>
          <cell r="D152">
            <v>0</v>
          </cell>
          <cell r="E152">
            <v>132833462</v>
          </cell>
          <cell r="F152">
            <v>0</v>
          </cell>
          <cell r="G152">
            <v>0</v>
          </cell>
          <cell r="H152">
            <v>0</v>
          </cell>
          <cell r="I152">
            <v>132833462</v>
          </cell>
          <cell r="J152">
            <v>132833462</v>
          </cell>
        </row>
        <row r="153">
          <cell r="A153" t="str">
            <v>4-1-01-01-005  CONSUMOS DE AGUAS</v>
          </cell>
          <cell r="B153">
            <v>0</v>
          </cell>
          <cell r="C153">
            <v>6196816</v>
          </cell>
          <cell r="D153">
            <v>0</v>
          </cell>
          <cell r="E153">
            <v>6196816</v>
          </cell>
          <cell r="F153">
            <v>0</v>
          </cell>
          <cell r="G153">
            <v>0</v>
          </cell>
          <cell r="H153">
            <v>0</v>
          </cell>
          <cell r="I153">
            <v>6196816</v>
          </cell>
          <cell r="J153">
            <v>6196816</v>
          </cell>
        </row>
        <row r="154">
          <cell r="A154" t="str">
            <v>4-1-01-01-006  CONSUMOS DE LUZ</v>
          </cell>
          <cell r="B154">
            <v>147503</v>
          </cell>
          <cell r="C154">
            <v>126908602</v>
          </cell>
          <cell r="D154">
            <v>0</v>
          </cell>
          <cell r="E154">
            <v>126761099</v>
          </cell>
          <cell r="F154">
            <v>0</v>
          </cell>
          <cell r="G154">
            <v>0</v>
          </cell>
          <cell r="H154">
            <v>0</v>
          </cell>
          <cell r="I154">
            <v>126761099</v>
          </cell>
          <cell r="J154">
            <v>126761099</v>
          </cell>
        </row>
        <row r="155">
          <cell r="A155" t="str">
            <v>4-1-01-01-007  CONSUMOS DE GAS</v>
          </cell>
          <cell r="B155">
            <v>0</v>
          </cell>
          <cell r="C155">
            <v>2000967</v>
          </cell>
          <cell r="D155">
            <v>0</v>
          </cell>
          <cell r="E155">
            <v>2000967</v>
          </cell>
          <cell r="F155">
            <v>0</v>
          </cell>
          <cell r="G155">
            <v>0</v>
          </cell>
          <cell r="H155">
            <v>0</v>
          </cell>
          <cell r="I155">
            <v>2000967</v>
          </cell>
          <cell r="J155">
            <v>2000967</v>
          </cell>
        </row>
        <row r="156">
          <cell r="A156" t="str">
            <v>4-1-01-01-008  GASTOS COMUNES</v>
          </cell>
          <cell r="B156">
            <v>80492009</v>
          </cell>
          <cell r="C156">
            <v>167275030</v>
          </cell>
          <cell r="D156">
            <v>0</v>
          </cell>
          <cell r="E156">
            <v>86783021</v>
          </cell>
          <cell r="F156">
            <v>0</v>
          </cell>
          <cell r="G156">
            <v>0</v>
          </cell>
          <cell r="H156">
            <v>0</v>
          </cell>
          <cell r="I156">
            <v>86783021</v>
          </cell>
          <cell r="J156">
            <v>86783021</v>
          </cell>
        </row>
        <row r="157">
          <cell r="A157" t="str">
            <v>4-1-01-01-013  VARIOS</v>
          </cell>
          <cell r="B157">
            <v>0</v>
          </cell>
          <cell r="C157">
            <v>43929</v>
          </cell>
          <cell r="D157">
            <v>0</v>
          </cell>
          <cell r="E157">
            <v>43929</v>
          </cell>
          <cell r="F157">
            <v>0</v>
          </cell>
          <cell r="G157">
            <v>0</v>
          </cell>
          <cell r="H157">
            <v>0</v>
          </cell>
          <cell r="I157">
            <v>43929</v>
          </cell>
          <cell r="J157">
            <v>43929</v>
          </cell>
        </row>
        <row r="158">
          <cell r="A158" t="str">
            <v>4-1-01-01-015  INGRESO VARIABLE FONDO PROMOCIÓN</v>
          </cell>
          <cell r="B158">
            <v>111284</v>
          </cell>
          <cell r="C158">
            <v>1297505</v>
          </cell>
          <cell r="D158">
            <v>0</v>
          </cell>
          <cell r="E158">
            <v>1186221</v>
          </cell>
          <cell r="F158">
            <v>0</v>
          </cell>
          <cell r="G158">
            <v>0</v>
          </cell>
          <cell r="H158">
            <v>0</v>
          </cell>
          <cell r="I158">
            <v>1186221</v>
          </cell>
          <cell r="J158">
            <v>1186221</v>
          </cell>
        </row>
        <row r="159">
          <cell r="A159" t="str">
            <v>4-2-01-01-004  INTERESES DAP</v>
          </cell>
          <cell r="B159">
            <v>0</v>
          </cell>
          <cell r="C159">
            <v>1004220</v>
          </cell>
          <cell r="D159">
            <v>0</v>
          </cell>
          <cell r="E159">
            <v>1004220</v>
          </cell>
          <cell r="F159">
            <v>0</v>
          </cell>
          <cell r="G159">
            <v>0</v>
          </cell>
          <cell r="H159">
            <v>0</v>
          </cell>
          <cell r="I159">
            <v>1004220</v>
          </cell>
          <cell r="J159">
            <v>1004220</v>
          </cell>
        </row>
        <row r="160">
          <cell r="A160" t="str">
            <v>4-2-01-01-005  INTERESES DE PAGARE</v>
          </cell>
          <cell r="B160">
            <v>0</v>
          </cell>
          <cell r="C160">
            <v>6442980</v>
          </cell>
          <cell r="D160">
            <v>0</v>
          </cell>
          <cell r="E160">
            <v>6442980</v>
          </cell>
          <cell r="F160">
            <v>0</v>
          </cell>
          <cell r="G160">
            <v>0</v>
          </cell>
          <cell r="H160">
            <v>0</v>
          </cell>
          <cell r="I160">
            <v>6442980</v>
          </cell>
          <cell r="J160">
            <v>6442980</v>
          </cell>
        </row>
        <row r="161">
          <cell r="A161" t="str">
            <v>4-2-01-01-006  INTERESES DAP US$ BCI</v>
          </cell>
          <cell r="B161">
            <v>0</v>
          </cell>
          <cell r="C161">
            <v>667851</v>
          </cell>
          <cell r="D161">
            <v>0</v>
          </cell>
          <cell r="E161">
            <v>667851</v>
          </cell>
          <cell r="F161">
            <v>0</v>
          </cell>
          <cell r="G161">
            <v>0</v>
          </cell>
          <cell r="H161">
            <v>0</v>
          </cell>
          <cell r="I161">
            <v>667851</v>
          </cell>
          <cell r="J161">
            <v>667851</v>
          </cell>
        </row>
        <row r="162">
          <cell r="A162" t="str">
            <v>4-2-01-01-010  DIVIDENDOS ACCIONARIO BTG</v>
          </cell>
          <cell r="B162">
            <v>0</v>
          </cell>
          <cell r="C162">
            <v>8511600</v>
          </cell>
          <cell r="D162">
            <v>0</v>
          </cell>
          <cell r="E162">
            <v>8511600</v>
          </cell>
          <cell r="F162">
            <v>0</v>
          </cell>
          <cell r="G162">
            <v>0</v>
          </cell>
          <cell r="H162">
            <v>0</v>
          </cell>
          <cell r="I162">
            <v>8511600</v>
          </cell>
          <cell r="J162">
            <v>8511600</v>
          </cell>
        </row>
        <row r="163">
          <cell r="A163" t="str">
            <v>4-2-01-01-012  DIVIDENDO BCI ASSET</v>
          </cell>
          <cell r="B163">
            <v>0</v>
          </cell>
          <cell r="C163">
            <v>46761050</v>
          </cell>
          <cell r="D163">
            <v>0</v>
          </cell>
          <cell r="E163">
            <v>46761050</v>
          </cell>
          <cell r="F163">
            <v>0</v>
          </cell>
          <cell r="G163">
            <v>0</v>
          </cell>
          <cell r="H163">
            <v>0</v>
          </cell>
          <cell r="I163">
            <v>46761050</v>
          </cell>
          <cell r="J163">
            <v>46761050</v>
          </cell>
        </row>
        <row r="164">
          <cell r="A164" t="str">
            <v>4-2-01-01-013  DIVIDENDOS BESALCO</v>
          </cell>
          <cell r="B164">
            <v>0</v>
          </cell>
          <cell r="C164">
            <v>512500</v>
          </cell>
          <cell r="D164">
            <v>0</v>
          </cell>
          <cell r="E164">
            <v>512500</v>
          </cell>
          <cell r="F164">
            <v>0</v>
          </cell>
          <cell r="G164">
            <v>0</v>
          </cell>
          <cell r="H164">
            <v>0</v>
          </cell>
          <cell r="I164">
            <v>512500</v>
          </cell>
          <cell r="J164">
            <v>512500</v>
          </cell>
        </row>
        <row r="165">
          <cell r="A165" t="str">
            <v>4-2-01-02-008  ARQUITEC Y HABILITACION  LOCALES</v>
          </cell>
          <cell r="B165">
            <v>31471287</v>
          </cell>
          <cell r="C165">
            <v>20084304</v>
          </cell>
          <cell r="D165">
            <v>11386983</v>
          </cell>
          <cell r="E165">
            <v>0</v>
          </cell>
          <cell r="F165">
            <v>0</v>
          </cell>
          <cell r="G165">
            <v>0</v>
          </cell>
          <cell r="H165">
            <v>11386983</v>
          </cell>
          <cell r="I165">
            <v>0</v>
          </cell>
          <cell r="J165">
            <v>-11386983</v>
          </cell>
        </row>
        <row r="166">
          <cell r="A166" t="str">
            <v>5-1-01-01-001  SERVICIOS DE GUARDIAS</v>
          </cell>
          <cell r="B166">
            <v>65166936</v>
          </cell>
          <cell r="C166">
            <v>0</v>
          </cell>
          <cell r="D166">
            <v>65166936</v>
          </cell>
          <cell r="E166">
            <v>0</v>
          </cell>
          <cell r="F166">
            <v>0</v>
          </cell>
          <cell r="G166">
            <v>0</v>
          </cell>
          <cell r="H166">
            <v>65166936</v>
          </cell>
          <cell r="I166">
            <v>0</v>
          </cell>
          <cell r="J166">
            <v>-65166936</v>
          </cell>
        </row>
        <row r="167">
          <cell r="A167" t="str">
            <v>5-1-01-01-002  MANTENCION EXTINTORES</v>
          </cell>
          <cell r="B167">
            <v>54600</v>
          </cell>
          <cell r="C167">
            <v>0</v>
          </cell>
          <cell r="D167">
            <v>54600</v>
          </cell>
          <cell r="E167">
            <v>0</v>
          </cell>
          <cell r="F167">
            <v>0</v>
          </cell>
          <cell r="G167">
            <v>0</v>
          </cell>
          <cell r="H167">
            <v>54600</v>
          </cell>
          <cell r="I167">
            <v>0</v>
          </cell>
          <cell r="J167">
            <v>-54600</v>
          </cell>
        </row>
        <row r="168">
          <cell r="A168" t="str">
            <v>5-1-01-01-005  ARTICULOS DE SEGURIDAD</v>
          </cell>
          <cell r="B168">
            <v>175980</v>
          </cell>
          <cell r="C168">
            <v>0</v>
          </cell>
          <cell r="D168">
            <v>175980</v>
          </cell>
          <cell r="E168">
            <v>0</v>
          </cell>
          <cell r="F168">
            <v>0</v>
          </cell>
          <cell r="G168">
            <v>0</v>
          </cell>
          <cell r="H168">
            <v>175980</v>
          </cell>
          <cell r="I168">
            <v>0</v>
          </cell>
          <cell r="J168">
            <v>-175980</v>
          </cell>
        </row>
        <row r="169">
          <cell r="A169" t="str">
            <v>5-1-01-02-002  INSUMOS BANOS</v>
          </cell>
          <cell r="B169">
            <v>1099423</v>
          </cell>
          <cell r="C169">
            <v>0</v>
          </cell>
          <cell r="D169">
            <v>1099423</v>
          </cell>
          <cell r="E169">
            <v>0</v>
          </cell>
          <cell r="F169">
            <v>0</v>
          </cell>
          <cell r="G169">
            <v>0</v>
          </cell>
          <cell r="H169">
            <v>1099423</v>
          </cell>
          <cell r="I169">
            <v>0</v>
          </cell>
          <cell r="J169">
            <v>-1099423</v>
          </cell>
        </row>
        <row r="170">
          <cell r="A170" t="str">
            <v>5-1-01-02-006  ARTIUCLOS DE ASEO</v>
          </cell>
          <cell r="B170">
            <v>339560</v>
          </cell>
          <cell r="C170">
            <v>0</v>
          </cell>
          <cell r="D170">
            <v>339560</v>
          </cell>
          <cell r="E170">
            <v>0</v>
          </cell>
          <cell r="F170">
            <v>0</v>
          </cell>
          <cell r="G170">
            <v>0</v>
          </cell>
          <cell r="H170">
            <v>339560</v>
          </cell>
          <cell r="I170">
            <v>0</v>
          </cell>
          <cell r="J170">
            <v>-339560</v>
          </cell>
        </row>
        <row r="171">
          <cell r="A171" t="str">
            <v>5-1-01-03-001  SERVICIOS DE JARDINES Y PAISAJISMO</v>
          </cell>
          <cell r="B171">
            <v>2543930</v>
          </cell>
          <cell r="C171">
            <v>0</v>
          </cell>
          <cell r="D171">
            <v>2543930</v>
          </cell>
          <cell r="E171">
            <v>0</v>
          </cell>
          <cell r="F171">
            <v>0</v>
          </cell>
          <cell r="G171">
            <v>0</v>
          </cell>
          <cell r="H171">
            <v>2543930</v>
          </cell>
          <cell r="I171">
            <v>0</v>
          </cell>
          <cell r="J171">
            <v>-2543930</v>
          </cell>
        </row>
        <row r="172">
          <cell r="A172" t="str">
            <v>5-1-01-03-003  CONTROL DE PLAGAS</v>
          </cell>
          <cell r="B172">
            <v>1511897</v>
          </cell>
          <cell r="C172">
            <v>0</v>
          </cell>
          <cell r="D172">
            <v>1511897</v>
          </cell>
          <cell r="E172">
            <v>0</v>
          </cell>
          <cell r="F172">
            <v>0</v>
          </cell>
          <cell r="G172">
            <v>0</v>
          </cell>
          <cell r="H172">
            <v>1511897</v>
          </cell>
          <cell r="I172">
            <v>0</v>
          </cell>
          <cell r="J172">
            <v>-1511897</v>
          </cell>
        </row>
        <row r="173">
          <cell r="A173" t="str">
            <v>5-1-01-04-001  MANTENCION TRANSPORTE VERTICAL</v>
          </cell>
          <cell r="B173">
            <v>2778626</v>
          </cell>
          <cell r="C173">
            <v>0</v>
          </cell>
          <cell r="D173">
            <v>2778626</v>
          </cell>
          <cell r="E173">
            <v>0</v>
          </cell>
          <cell r="F173">
            <v>0</v>
          </cell>
          <cell r="G173">
            <v>0</v>
          </cell>
          <cell r="H173">
            <v>2778626</v>
          </cell>
          <cell r="I173">
            <v>0</v>
          </cell>
          <cell r="J173">
            <v>-2778626</v>
          </cell>
        </row>
        <row r="174">
          <cell r="A174" t="str">
            <v>5-1-01-04-005  MANTENCION RED DE INCENDIO</v>
          </cell>
          <cell r="B174">
            <v>515105</v>
          </cell>
          <cell r="C174">
            <v>0</v>
          </cell>
          <cell r="D174">
            <v>515105</v>
          </cell>
          <cell r="E174">
            <v>0</v>
          </cell>
          <cell r="F174">
            <v>0</v>
          </cell>
          <cell r="G174">
            <v>0</v>
          </cell>
          <cell r="H174">
            <v>515105</v>
          </cell>
          <cell r="I174">
            <v>0</v>
          </cell>
          <cell r="J174">
            <v>-515105</v>
          </cell>
        </row>
        <row r="175">
          <cell r="A175" t="str">
            <v>5-1-01-04-007  MANTENCION CCTV</v>
          </cell>
          <cell r="B175">
            <v>2959520</v>
          </cell>
          <cell r="C175">
            <v>0</v>
          </cell>
          <cell r="D175">
            <v>2959520</v>
          </cell>
          <cell r="E175">
            <v>0</v>
          </cell>
          <cell r="F175">
            <v>0</v>
          </cell>
          <cell r="G175">
            <v>0</v>
          </cell>
          <cell r="H175">
            <v>2959520</v>
          </cell>
          <cell r="I175">
            <v>0</v>
          </cell>
          <cell r="J175">
            <v>-2959520</v>
          </cell>
        </row>
        <row r="176">
          <cell r="A176" t="str">
            <v>5-1-01-04-010  MANTENCION ALCANTARILLADOS</v>
          </cell>
          <cell r="B176">
            <v>590100</v>
          </cell>
          <cell r="C176">
            <v>0</v>
          </cell>
          <cell r="D176">
            <v>590100</v>
          </cell>
          <cell r="E176">
            <v>0</v>
          </cell>
          <cell r="F176">
            <v>0</v>
          </cell>
          <cell r="G176">
            <v>0</v>
          </cell>
          <cell r="H176">
            <v>590100</v>
          </cell>
          <cell r="I176">
            <v>0</v>
          </cell>
          <cell r="J176">
            <v>-590100</v>
          </cell>
        </row>
        <row r="177">
          <cell r="A177" t="str">
            <v>5-1-01-04-011  MANTENCION GENERAL</v>
          </cell>
          <cell r="B177">
            <v>11998103</v>
          </cell>
          <cell r="C177">
            <v>320000</v>
          </cell>
          <cell r="D177">
            <v>11678103</v>
          </cell>
          <cell r="E177">
            <v>0</v>
          </cell>
          <cell r="F177">
            <v>0</v>
          </cell>
          <cell r="G177">
            <v>0</v>
          </cell>
          <cell r="H177">
            <v>11678103</v>
          </cell>
          <cell r="I177">
            <v>0</v>
          </cell>
          <cell r="J177">
            <v>-11678103</v>
          </cell>
        </row>
        <row r="178">
          <cell r="A178" t="str">
            <v>5-1-01-04-014  MANTENCION VEHICULOS</v>
          </cell>
          <cell r="B178">
            <v>460048</v>
          </cell>
          <cell r="C178">
            <v>0</v>
          </cell>
          <cell r="D178">
            <v>460048</v>
          </cell>
          <cell r="E178">
            <v>0</v>
          </cell>
          <cell r="F178">
            <v>0</v>
          </cell>
          <cell r="G178">
            <v>0</v>
          </cell>
          <cell r="H178">
            <v>460048</v>
          </cell>
          <cell r="I178">
            <v>0</v>
          </cell>
          <cell r="J178">
            <v>-460048</v>
          </cell>
        </row>
        <row r="179">
          <cell r="A179" t="str">
            <v>5-1-01-04-017  MANTENCION CLIMA CORRECTIVA</v>
          </cell>
          <cell r="B179">
            <v>1515958</v>
          </cell>
          <cell r="C179">
            <v>0</v>
          </cell>
          <cell r="D179">
            <v>1515958</v>
          </cell>
          <cell r="E179">
            <v>0</v>
          </cell>
          <cell r="F179">
            <v>0</v>
          </cell>
          <cell r="G179">
            <v>0</v>
          </cell>
          <cell r="H179">
            <v>1515958</v>
          </cell>
          <cell r="I179">
            <v>0</v>
          </cell>
          <cell r="J179">
            <v>-1515958</v>
          </cell>
        </row>
        <row r="180">
          <cell r="A180" t="str">
            <v>5-1-01-04-018  MANTENCION ELECTRICA CORRECTIVA</v>
          </cell>
          <cell r="B180">
            <v>1276757</v>
          </cell>
          <cell r="C180">
            <v>1</v>
          </cell>
          <cell r="D180">
            <v>1276756</v>
          </cell>
          <cell r="E180">
            <v>0</v>
          </cell>
          <cell r="F180">
            <v>0</v>
          </cell>
          <cell r="G180">
            <v>0</v>
          </cell>
          <cell r="H180">
            <v>1276756</v>
          </cell>
          <cell r="I180">
            <v>0</v>
          </cell>
          <cell r="J180">
            <v>-1276756</v>
          </cell>
        </row>
        <row r="181">
          <cell r="A181" t="str">
            <v>5-1-01-05-006  COMPRAS PETROLEO GAS BENCINA</v>
          </cell>
          <cell r="B181">
            <v>2078566</v>
          </cell>
          <cell r="C181">
            <v>0</v>
          </cell>
          <cell r="D181">
            <v>2078566</v>
          </cell>
          <cell r="E181">
            <v>0</v>
          </cell>
          <cell r="F181">
            <v>0</v>
          </cell>
          <cell r="G181">
            <v>0</v>
          </cell>
          <cell r="H181">
            <v>2078566</v>
          </cell>
          <cell r="I181">
            <v>0</v>
          </cell>
          <cell r="J181">
            <v>-2078566</v>
          </cell>
        </row>
        <row r="182">
          <cell r="A182" t="str">
            <v>5-1-01-06-001  CONSUMO AGUA COMUN</v>
          </cell>
          <cell r="B182">
            <v>7030152</v>
          </cell>
          <cell r="C182">
            <v>952791</v>
          </cell>
          <cell r="D182">
            <v>6077361</v>
          </cell>
          <cell r="E182">
            <v>0</v>
          </cell>
          <cell r="F182">
            <v>0</v>
          </cell>
          <cell r="G182">
            <v>0</v>
          </cell>
          <cell r="H182">
            <v>6077361</v>
          </cell>
          <cell r="I182">
            <v>0</v>
          </cell>
          <cell r="J182">
            <v>-6077361</v>
          </cell>
        </row>
        <row r="183">
          <cell r="A183" t="str">
            <v>5-1-01-06-002  CONSUMO ENERGIA COMUN</v>
          </cell>
          <cell r="B183">
            <v>178747281</v>
          </cell>
          <cell r="C183">
            <v>26798</v>
          </cell>
          <cell r="D183">
            <v>178720483</v>
          </cell>
          <cell r="E183">
            <v>0</v>
          </cell>
          <cell r="F183">
            <v>0</v>
          </cell>
          <cell r="G183">
            <v>0</v>
          </cell>
          <cell r="H183">
            <v>178720483</v>
          </cell>
          <cell r="I183">
            <v>0</v>
          </cell>
          <cell r="J183">
            <v>-178720483</v>
          </cell>
        </row>
        <row r="184">
          <cell r="A184" t="str">
            <v>5-1-01-06-003  GASTO COMUN PROPIO</v>
          </cell>
          <cell r="B184">
            <v>330816</v>
          </cell>
          <cell r="C184">
            <v>0</v>
          </cell>
          <cell r="D184">
            <v>330816</v>
          </cell>
          <cell r="E184">
            <v>0</v>
          </cell>
          <cell r="F184">
            <v>0</v>
          </cell>
          <cell r="G184">
            <v>0</v>
          </cell>
          <cell r="H184">
            <v>330816</v>
          </cell>
          <cell r="I184">
            <v>0</v>
          </cell>
          <cell r="J184">
            <v>-330816</v>
          </cell>
        </row>
        <row r="185">
          <cell r="A185" t="str">
            <v>5-1-01-06-004  SERVICIOS INFORMATICOS DE SISTEMAS</v>
          </cell>
          <cell r="B185">
            <v>3663134</v>
          </cell>
          <cell r="C185">
            <v>0</v>
          </cell>
          <cell r="D185">
            <v>3663134</v>
          </cell>
          <cell r="E185">
            <v>0</v>
          </cell>
          <cell r="F185">
            <v>0</v>
          </cell>
          <cell r="G185">
            <v>0</v>
          </cell>
          <cell r="H185">
            <v>3663134</v>
          </cell>
          <cell r="I185">
            <v>0</v>
          </cell>
          <cell r="J185">
            <v>-3663134</v>
          </cell>
        </row>
        <row r="186">
          <cell r="A186" t="str">
            <v>5-1-01-07-001  TELEFONO</v>
          </cell>
          <cell r="B186">
            <v>298695</v>
          </cell>
          <cell r="C186">
            <v>0</v>
          </cell>
          <cell r="D186">
            <v>298695</v>
          </cell>
          <cell r="E186">
            <v>0</v>
          </cell>
          <cell r="F186">
            <v>0</v>
          </cell>
          <cell r="G186">
            <v>0</v>
          </cell>
          <cell r="H186">
            <v>298695</v>
          </cell>
          <cell r="I186">
            <v>0</v>
          </cell>
          <cell r="J186">
            <v>-298695</v>
          </cell>
        </row>
        <row r="187">
          <cell r="A187" t="str">
            <v>5-1-01-07-002  INTERNET</v>
          </cell>
          <cell r="B187">
            <v>1977819</v>
          </cell>
          <cell r="C187">
            <v>0</v>
          </cell>
          <cell r="D187">
            <v>1977819</v>
          </cell>
          <cell r="E187">
            <v>0</v>
          </cell>
          <cell r="F187">
            <v>0</v>
          </cell>
          <cell r="G187">
            <v>0</v>
          </cell>
          <cell r="H187">
            <v>1977819</v>
          </cell>
          <cell r="I187">
            <v>0</v>
          </cell>
          <cell r="J187">
            <v>-1977819</v>
          </cell>
        </row>
        <row r="188">
          <cell r="A188" t="str">
            <v>5-1-01-07-005  ARTICULOS DE OFICINA</v>
          </cell>
          <cell r="B188">
            <v>1651849</v>
          </cell>
          <cell r="C188">
            <v>0</v>
          </cell>
          <cell r="D188">
            <v>1651849</v>
          </cell>
          <cell r="E188">
            <v>0</v>
          </cell>
          <cell r="F188">
            <v>0</v>
          </cell>
          <cell r="G188">
            <v>0</v>
          </cell>
          <cell r="H188">
            <v>1651849</v>
          </cell>
          <cell r="I188">
            <v>0</v>
          </cell>
          <cell r="J188">
            <v>-1651849</v>
          </cell>
        </row>
        <row r="189">
          <cell r="A189" t="str">
            <v>5-1-01-10-003  REMUNERACIONES TENS Y RRHH</v>
          </cell>
          <cell r="B189">
            <v>4767014</v>
          </cell>
          <cell r="C189">
            <v>0</v>
          </cell>
          <cell r="D189">
            <v>4767014</v>
          </cell>
          <cell r="E189">
            <v>0</v>
          </cell>
          <cell r="F189">
            <v>0</v>
          </cell>
          <cell r="G189">
            <v>0</v>
          </cell>
          <cell r="H189">
            <v>4767014</v>
          </cell>
          <cell r="I189">
            <v>0</v>
          </cell>
          <cell r="J189">
            <v>-4767014</v>
          </cell>
        </row>
        <row r="190">
          <cell r="A190" t="str">
            <v>5-1-01-11-001  HABILITACIÓN LOCALES OUTLET FLORIDA</v>
          </cell>
          <cell r="B190">
            <v>7016413</v>
          </cell>
          <cell r="C190">
            <v>0</v>
          </cell>
          <cell r="D190">
            <v>7016413</v>
          </cell>
          <cell r="E190">
            <v>0</v>
          </cell>
          <cell r="F190">
            <v>0</v>
          </cell>
          <cell r="G190">
            <v>0</v>
          </cell>
          <cell r="H190">
            <v>7016413</v>
          </cell>
          <cell r="I190">
            <v>0</v>
          </cell>
          <cell r="J190">
            <v>-7016413</v>
          </cell>
        </row>
        <row r="191">
          <cell r="A191" t="str">
            <v>5-1-03-01-004  PROMOCIONES VARIAS</v>
          </cell>
          <cell r="B191">
            <v>951219</v>
          </cell>
          <cell r="C191">
            <v>0</v>
          </cell>
          <cell r="D191">
            <v>951219</v>
          </cell>
          <cell r="E191">
            <v>0</v>
          </cell>
          <cell r="F191">
            <v>0</v>
          </cell>
          <cell r="G191">
            <v>0</v>
          </cell>
          <cell r="H191">
            <v>951219</v>
          </cell>
          <cell r="I191">
            <v>0</v>
          </cell>
          <cell r="J191">
            <v>-951219</v>
          </cell>
        </row>
        <row r="192">
          <cell r="A192" t="str">
            <v>5-1-03-01-005  GASTOS DERECHO AUTOR</v>
          </cell>
          <cell r="B192">
            <v>572707</v>
          </cell>
          <cell r="C192">
            <v>0</v>
          </cell>
          <cell r="D192">
            <v>572707</v>
          </cell>
          <cell r="E192">
            <v>0</v>
          </cell>
          <cell r="F192">
            <v>0</v>
          </cell>
          <cell r="G192">
            <v>0</v>
          </cell>
          <cell r="H192">
            <v>572707</v>
          </cell>
          <cell r="I192">
            <v>0</v>
          </cell>
          <cell r="J192">
            <v>-572707</v>
          </cell>
        </row>
        <row r="193">
          <cell r="A193" t="str">
            <v>5-2-01-01-001  REMUNERACIONES BRUTAS</v>
          </cell>
          <cell r="B193">
            <v>142783073</v>
          </cell>
          <cell r="C193">
            <v>0</v>
          </cell>
          <cell r="D193">
            <v>142783073</v>
          </cell>
          <cell r="E193">
            <v>0</v>
          </cell>
          <cell r="F193">
            <v>0</v>
          </cell>
          <cell r="G193">
            <v>0</v>
          </cell>
          <cell r="H193">
            <v>142783073</v>
          </cell>
          <cell r="I193">
            <v>0</v>
          </cell>
          <cell r="J193">
            <v>-142783073</v>
          </cell>
        </row>
        <row r="194">
          <cell r="A194" t="str">
            <v>5-2-01-01-002  APORTES PATRONALES</v>
          </cell>
          <cell r="B194">
            <v>2609429</v>
          </cell>
          <cell r="C194">
            <v>0</v>
          </cell>
          <cell r="D194">
            <v>2609429</v>
          </cell>
          <cell r="E194">
            <v>0</v>
          </cell>
          <cell r="F194">
            <v>0</v>
          </cell>
          <cell r="G194">
            <v>0</v>
          </cell>
          <cell r="H194">
            <v>2609429</v>
          </cell>
          <cell r="I194">
            <v>0</v>
          </cell>
          <cell r="J194">
            <v>-2609429</v>
          </cell>
        </row>
        <row r="195">
          <cell r="A195" t="str">
            <v>5-2-01-01-003  FINIQUITOS</v>
          </cell>
          <cell r="B195">
            <v>1651676</v>
          </cell>
          <cell r="C195">
            <v>0</v>
          </cell>
          <cell r="D195">
            <v>1651676</v>
          </cell>
          <cell r="E195">
            <v>0</v>
          </cell>
          <cell r="F195">
            <v>0</v>
          </cell>
          <cell r="G195">
            <v>0</v>
          </cell>
          <cell r="H195">
            <v>1651676</v>
          </cell>
          <cell r="I195">
            <v>0</v>
          </cell>
          <cell r="J195">
            <v>-1651676</v>
          </cell>
        </row>
        <row r="196">
          <cell r="A196" t="str">
            <v>5-2-01-01-004  GRATIFICACIONES</v>
          </cell>
          <cell r="B196">
            <v>4481427</v>
          </cell>
          <cell r="C196">
            <v>0</v>
          </cell>
          <cell r="D196">
            <v>4481427</v>
          </cell>
          <cell r="E196">
            <v>0</v>
          </cell>
          <cell r="F196">
            <v>0</v>
          </cell>
          <cell r="G196">
            <v>0</v>
          </cell>
          <cell r="H196">
            <v>4481427</v>
          </cell>
          <cell r="I196">
            <v>0</v>
          </cell>
          <cell r="J196">
            <v>-4481427</v>
          </cell>
        </row>
        <row r="197">
          <cell r="A197" t="str">
            <v>5-2-01-01-006  OTROS NO IMPONIBLES</v>
          </cell>
          <cell r="B197">
            <v>3767135</v>
          </cell>
          <cell r="C197">
            <v>0</v>
          </cell>
          <cell r="D197">
            <v>3767135</v>
          </cell>
          <cell r="E197">
            <v>0</v>
          </cell>
          <cell r="F197">
            <v>0</v>
          </cell>
          <cell r="G197">
            <v>0</v>
          </cell>
          <cell r="H197">
            <v>3767135</v>
          </cell>
          <cell r="I197">
            <v>0</v>
          </cell>
          <cell r="J197">
            <v>-3767135</v>
          </cell>
        </row>
        <row r="198">
          <cell r="A198" t="str">
            <v>5-2-01-01-008  SEGURO COMPLEMENTARIO SALUD</v>
          </cell>
          <cell r="B198">
            <v>1581039</v>
          </cell>
          <cell r="C198">
            <v>295373</v>
          </cell>
          <cell r="D198">
            <v>1285666</v>
          </cell>
          <cell r="E198">
            <v>0</v>
          </cell>
          <cell r="F198">
            <v>0</v>
          </cell>
          <cell r="G198">
            <v>0</v>
          </cell>
          <cell r="H198">
            <v>1285666</v>
          </cell>
          <cell r="I198">
            <v>0</v>
          </cell>
          <cell r="J198">
            <v>-1285666</v>
          </cell>
        </row>
        <row r="199">
          <cell r="A199" t="str">
            <v>5-2-01-02-001  HONORARIOS CONTABLES</v>
          </cell>
          <cell r="B199">
            <v>58479</v>
          </cell>
          <cell r="C199">
            <v>0</v>
          </cell>
          <cell r="D199">
            <v>58479</v>
          </cell>
          <cell r="E199">
            <v>0</v>
          </cell>
          <cell r="F199">
            <v>0</v>
          </cell>
          <cell r="G199">
            <v>0</v>
          </cell>
          <cell r="H199">
            <v>58479</v>
          </cell>
          <cell r="I199">
            <v>0</v>
          </cell>
          <cell r="J199">
            <v>-58479</v>
          </cell>
        </row>
        <row r="200">
          <cell r="A200" t="str">
            <v>5-2-01-02-002  HONORARIOS SERVICIOS LEGALES</v>
          </cell>
          <cell r="B200">
            <v>8486158</v>
          </cell>
          <cell r="C200">
            <v>0</v>
          </cell>
          <cell r="D200">
            <v>8486158</v>
          </cell>
          <cell r="E200">
            <v>0</v>
          </cell>
          <cell r="F200">
            <v>0</v>
          </cell>
          <cell r="G200">
            <v>0</v>
          </cell>
          <cell r="H200">
            <v>8486158</v>
          </cell>
          <cell r="I200">
            <v>0</v>
          </cell>
          <cell r="J200">
            <v>-8486158</v>
          </cell>
        </row>
        <row r="201">
          <cell r="A201" t="str">
            <v>5-2-01-02-003  ASESORIAS Y CONSULTORIAS</v>
          </cell>
          <cell r="B201">
            <v>25473327</v>
          </cell>
          <cell r="C201">
            <v>0</v>
          </cell>
          <cell r="D201">
            <v>25473327</v>
          </cell>
          <cell r="E201">
            <v>0</v>
          </cell>
          <cell r="F201">
            <v>0</v>
          </cell>
          <cell r="G201">
            <v>0</v>
          </cell>
          <cell r="H201">
            <v>25473327</v>
          </cell>
          <cell r="I201">
            <v>0</v>
          </cell>
          <cell r="J201">
            <v>-25473327</v>
          </cell>
        </row>
        <row r="202">
          <cell r="A202" t="str">
            <v>5-2-01-02-004  SERVICIOS DE ASEO</v>
          </cell>
          <cell r="B202">
            <v>23136007</v>
          </cell>
          <cell r="C202">
            <v>1113393</v>
          </cell>
          <cell r="D202">
            <v>22022614</v>
          </cell>
          <cell r="E202">
            <v>0</v>
          </cell>
          <cell r="F202">
            <v>0</v>
          </cell>
          <cell r="G202">
            <v>0</v>
          </cell>
          <cell r="H202">
            <v>22022614</v>
          </cell>
          <cell r="I202">
            <v>0</v>
          </cell>
          <cell r="J202">
            <v>-22022614</v>
          </cell>
        </row>
        <row r="203">
          <cell r="A203" t="str">
            <v>5-2-01-02-007  SERVICIOS DE PUBLICIDAD Y MARKETING</v>
          </cell>
          <cell r="B203">
            <v>18260440</v>
          </cell>
          <cell r="C203">
            <v>8570084</v>
          </cell>
          <cell r="D203">
            <v>9690356</v>
          </cell>
          <cell r="E203">
            <v>0</v>
          </cell>
          <cell r="F203">
            <v>0</v>
          </cell>
          <cell r="G203">
            <v>0</v>
          </cell>
          <cell r="H203">
            <v>9690356</v>
          </cell>
          <cell r="I203">
            <v>0</v>
          </cell>
          <cell r="J203">
            <v>-9690356</v>
          </cell>
        </row>
        <row r="204">
          <cell r="A204" t="str">
            <v>5-2-01-02-011  PAGOS LEGALES Y DEMANDAS</v>
          </cell>
          <cell r="B204">
            <v>12148850</v>
          </cell>
          <cell r="C204">
            <v>274625</v>
          </cell>
          <cell r="D204">
            <v>11874225</v>
          </cell>
          <cell r="E204">
            <v>0</v>
          </cell>
          <cell r="F204">
            <v>0</v>
          </cell>
          <cell r="G204">
            <v>0</v>
          </cell>
          <cell r="H204">
            <v>11874225</v>
          </cell>
          <cell r="I204">
            <v>0</v>
          </cell>
          <cell r="J204">
            <v>-11874225</v>
          </cell>
        </row>
        <row r="205">
          <cell r="A205" t="str">
            <v>5-2-01-03-002  GASTOS NOTARIALES</v>
          </cell>
          <cell r="B205">
            <v>33700</v>
          </cell>
          <cell r="C205">
            <v>774000</v>
          </cell>
          <cell r="D205">
            <v>0</v>
          </cell>
          <cell r="E205">
            <v>740300</v>
          </cell>
          <cell r="F205">
            <v>0</v>
          </cell>
          <cell r="G205">
            <v>0</v>
          </cell>
          <cell r="H205">
            <v>0</v>
          </cell>
          <cell r="I205">
            <v>740300</v>
          </cell>
          <cell r="J205">
            <v>740300</v>
          </cell>
        </row>
        <row r="206">
          <cell r="A206" t="str">
            <v>5-2-01-03-003  PATENTES</v>
          </cell>
          <cell r="B206">
            <v>103049529</v>
          </cell>
          <cell r="C206">
            <v>0</v>
          </cell>
          <cell r="D206">
            <v>103049529</v>
          </cell>
          <cell r="E206">
            <v>0</v>
          </cell>
          <cell r="F206">
            <v>0</v>
          </cell>
          <cell r="G206">
            <v>0</v>
          </cell>
          <cell r="H206">
            <v>103049529</v>
          </cell>
          <cell r="I206">
            <v>0</v>
          </cell>
          <cell r="J206">
            <v>-103049529</v>
          </cell>
        </row>
        <row r="207">
          <cell r="A207" t="str">
            <v>5-2-01-03-004  GASTO IVA PROPORCIONAL</v>
          </cell>
          <cell r="B207">
            <v>12460802</v>
          </cell>
          <cell r="C207">
            <v>0</v>
          </cell>
          <cell r="D207">
            <v>12460802</v>
          </cell>
          <cell r="E207">
            <v>0</v>
          </cell>
          <cell r="F207">
            <v>0</v>
          </cell>
          <cell r="G207">
            <v>0</v>
          </cell>
          <cell r="H207">
            <v>12460802</v>
          </cell>
          <cell r="I207">
            <v>0</v>
          </cell>
          <cell r="J207">
            <v>-12460802</v>
          </cell>
        </row>
        <row r="208">
          <cell r="A208" t="str">
            <v>5-2-01-03-006  GASTOS GENERALES</v>
          </cell>
          <cell r="B208">
            <v>1077522</v>
          </cell>
          <cell r="C208">
            <v>26839</v>
          </cell>
          <cell r="D208">
            <v>1050683</v>
          </cell>
          <cell r="E208">
            <v>0</v>
          </cell>
          <cell r="F208">
            <v>0</v>
          </cell>
          <cell r="G208">
            <v>0</v>
          </cell>
          <cell r="H208">
            <v>1050683</v>
          </cell>
          <cell r="I208">
            <v>0</v>
          </cell>
          <cell r="J208">
            <v>-1050683</v>
          </cell>
        </row>
        <row r="209">
          <cell r="A209" t="str">
            <v>5-2-01-05-001  GASTOS DE REPRESENTACION</v>
          </cell>
          <cell r="B209">
            <v>3071881</v>
          </cell>
          <cell r="C209">
            <v>6</v>
          </cell>
          <cell r="D209">
            <v>3071875</v>
          </cell>
          <cell r="E209">
            <v>0</v>
          </cell>
          <cell r="F209">
            <v>0</v>
          </cell>
          <cell r="G209">
            <v>0</v>
          </cell>
          <cell r="H209">
            <v>3071875</v>
          </cell>
          <cell r="I209">
            <v>0</v>
          </cell>
          <cell r="J209">
            <v>-3071875</v>
          </cell>
        </row>
        <row r="210">
          <cell r="A210" t="str">
            <v>5-2-01-06-001  ARRIENDOS</v>
          </cell>
          <cell r="B210">
            <v>4988182</v>
          </cell>
          <cell r="C210">
            <v>0</v>
          </cell>
          <cell r="D210">
            <v>4988182</v>
          </cell>
          <cell r="E210">
            <v>0</v>
          </cell>
          <cell r="F210">
            <v>0</v>
          </cell>
          <cell r="G210">
            <v>0</v>
          </cell>
          <cell r="H210">
            <v>4988182</v>
          </cell>
          <cell r="I210">
            <v>0</v>
          </cell>
          <cell r="J210">
            <v>-4988182</v>
          </cell>
        </row>
        <row r="211">
          <cell r="A211" t="str">
            <v>5-2-01-07-001  CONTRIBUCIONES</v>
          </cell>
          <cell r="B211">
            <v>40135464</v>
          </cell>
          <cell r="C211">
            <v>0</v>
          </cell>
          <cell r="D211">
            <v>40135464</v>
          </cell>
          <cell r="E211">
            <v>0</v>
          </cell>
          <cell r="F211">
            <v>0</v>
          </cell>
          <cell r="G211">
            <v>0</v>
          </cell>
          <cell r="H211">
            <v>40135464</v>
          </cell>
          <cell r="I211">
            <v>0</v>
          </cell>
          <cell r="J211">
            <v>-40135464</v>
          </cell>
        </row>
        <row r="212">
          <cell r="A212" t="str">
            <v>5-3-01-01-001  INTERESES LEASING</v>
          </cell>
          <cell r="B212">
            <v>67846316</v>
          </cell>
          <cell r="C212">
            <v>1</v>
          </cell>
          <cell r="D212">
            <v>67846315</v>
          </cell>
          <cell r="E212">
            <v>0</v>
          </cell>
          <cell r="F212">
            <v>0</v>
          </cell>
          <cell r="G212">
            <v>0</v>
          </cell>
          <cell r="H212">
            <v>67846315</v>
          </cell>
          <cell r="I212">
            <v>0</v>
          </cell>
          <cell r="J212">
            <v>-67846315</v>
          </cell>
        </row>
        <row r="213">
          <cell r="A213" t="str">
            <v>5-3-01-01-002  GASTOS BANCARIOS</v>
          </cell>
          <cell r="B213">
            <v>10760562</v>
          </cell>
          <cell r="C213">
            <v>0</v>
          </cell>
          <cell r="D213">
            <v>10760562</v>
          </cell>
          <cell r="E213">
            <v>0</v>
          </cell>
          <cell r="F213">
            <v>0</v>
          </cell>
          <cell r="G213">
            <v>0</v>
          </cell>
          <cell r="H213">
            <v>10760562</v>
          </cell>
          <cell r="I213">
            <v>0</v>
          </cell>
          <cell r="J213">
            <v>-10760562</v>
          </cell>
        </row>
        <row r="214">
          <cell r="A214" t="str">
            <v>5-3-01-01-003  MULTAS INTERESES Y REAJUSTES</v>
          </cell>
          <cell r="B214">
            <v>495384</v>
          </cell>
          <cell r="C214">
            <v>0</v>
          </cell>
          <cell r="D214">
            <v>495384</v>
          </cell>
          <cell r="E214">
            <v>0</v>
          </cell>
          <cell r="F214">
            <v>0</v>
          </cell>
          <cell r="G214">
            <v>0</v>
          </cell>
          <cell r="H214">
            <v>495384</v>
          </cell>
          <cell r="I214">
            <v>0</v>
          </cell>
          <cell r="J214">
            <v>-495384</v>
          </cell>
        </row>
        <row r="215">
          <cell r="A215" t="str">
            <v>5-3-01-01-005  GASTOS E INTERESES COMERCIALES</v>
          </cell>
          <cell r="B215">
            <v>4223762</v>
          </cell>
          <cell r="C215">
            <v>0</v>
          </cell>
          <cell r="D215">
            <v>4223762</v>
          </cell>
          <cell r="E215">
            <v>0</v>
          </cell>
          <cell r="F215">
            <v>0</v>
          </cell>
          <cell r="G215">
            <v>0</v>
          </cell>
          <cell r="H215">
            <v>4223762</v>
          </cell>
          <cell r="I215">
            <v>0</v>
          </cell>
          <cell r="J215">
            <v>-4223762</v>
          </cell>
        </row>
        <row r="216">
          <cell r="A216" t="str">
            <v>5-3-01-02-006  GANANCIA (PERDIDA) SWAP</v>
          </cell>
          <cell r="B216">
            <v>101323527</v>
          </cell>
          <cell r="C216">
            <v>0</v>
          </cell>
          <cell r="D216">
            <v>101323527</v>
          </cell>
          <cell r="E216">
            <v>0</v>
          </cell>
          <cell r="F216">
            <v>0</v>
          </cell>
          <cell r="G216">
            <v>0</v>
          </cell>
          <cell r="H216">
            <v>101323527</v>
          </cell>
          <cell r="I216">
            <v>0</v>
          </cell>
          <cell r="J216">
            <v>-101323527</v>
          </cell>
        </row>
        <row r="217">
          <cell r="A217" t="str">
            <v>5-3-01-02-007  MAYOR / MENOR VALOR DE INVERSIONES</v>
          </cell>
          <cell r="B217">
            <v>66145099</v>
          </cell>
          <cell r="C217">
            <v>48272735</v>
          </cell>
          <cell r="D217">
            <v>17872364</v>
          </cell>
          <cell r="E217">
            <v>0</v>
          </cell>
          <cell r="F217">
            <v>0</v>
          </cell>
          <cell r="G217">
            <v>0</v>
          </cell>
          <cell r="H217">
            <v>17872364</v>
          </cell>
          <cell r="I217">
            <v>0</v>
          </cell>
          <cell r="J217">
            <v>-17872364</v>
          </cell>
        </row>
        <row r="218">
          <cell r="A218" t="str">
            <v>5-3-01-02-013  GASTOS VIAJES EXTRANJERO</v>
          </cell>
          <cell r="B218">
            <v>11687617</v>
          </cell>
          <cell r="C218">
            <v>0</v>
          </cell>
          <cell r="D218">
            <v>11687617</v>
          </cell>
          <cell r="E218">
            <v>0</v>
          </cell>
          <cell r="F218">
            <v>0</v>
          </cell>
          <cell r="G218">
            <v>0</v>
          </cell>
          <cell r="H218">
            <v>11687617</v>
          </cell>
          <cell r="I218">
            <v>0</v>
          </cell>
          <cell r="J218">
            <v>-11687617</v>
          </cell>
        </row>
        <row r="219">
          <cell r="A219" t="str">
            <v>5-3-01-02-020  COSTO MANDATO INVERSIONES NUEVA SANTA FIDELMIRA LIMITADA</v>
          </cell>
          <cell r="B219">
            <v>37597332</v>
          </cell>
          <cell r="C219">
            <v>0</v>
          </cell>
          <cell r="D219">
            <v>37597332</v>
          </cell>
          <cell r="E219">
            <v>0</v>
          </cell>
          <cell r="F219">
            <v>0</v>
          </cell>
          <cell r="G219">
            <v>0</v>
          </cell>
          <cell r="H219">
            <v>37597332</v>
          </cell>
          <cell r="I219">
            <v>0</v>
          </cell>
          <cell r="J219">
            <v>-37597332</v>
          </cell>
        </row>
        <row r="220">
          <cell r="A220" t="str">
            <v>5-3-01-03-004  CORRECCION REMANENTE CREDITO FISCAL</v>
          </cell>
          <cell r="B220">
            <v>0</v>
          </cell>
          <cell r="C220">
            <v>608757</v>
          </cell>
          <cell r="D220">
            <v>0</v>
          </cell>
          <cell r="E220">
            <v>608757</v>
          </cell>
          <cell r="F220">
            <v>0</v>
          </cell>
          <cell r="G220">
            <v>0</v>
          </cell>
          <cell r="H220">
            <v>0</v>
          </cell>
          <cell r="I220">
            <v>608757</v>
          </cell>
          <cell r="J220">
            <v>608757</v>
          </cell>
        </row>
        <row r="221">
          <cell r="A221" t="str">
            <v>5-3-01-03-006  CORRECCION EN UF</v>
          </cell>
          <cell r="B221">
            <v>159351759</v>
          </cell>
          <cell r="C221">
            <v>14619368</v>
          </cell>
          <cell r="D221">
            <v>144732391</v>
          </cell>
          <cell r="E221">
            <v>0</v>
          </cell>
          <cell r="F221">
            <v>0</v>
          </cell>
          <cell r="G221">
            <v>0</v>
          </cell>
          <cell r="H221">
            <v>144732391</v>
          </cell>
          <cell r="I221">
            <v>0</v>
          </cell>
          <cell r="J221">
            <v>-144732391</v>
          </cell>
        </row>
        <row r="222">
          <cell r="A222" t="str">
            <v>5-3-01-03-011  VARIACION USD</v>
          </cell>
          <cell r="B222">
            <v>28293827</v>
          </cell>
          <cell r="C222">
            <v>27151425</v>
          </cell>
          <cell r="D222">
            <v>1142402</v>
          </cell>
          <cell r="E222">
            <v>0</v>
          </cell>
          <cell r="F222">
            <v>0</v>
          </cell>
          <cell r="G222">
            <v>0</v>
          </cell>
          <cell r="H222">
            <v>1142402</v>
          </cell>
          <cell r="I222">
            <v>0</v>
          </cell>
          <cell r="J222">
            <v>-1142402</v>
          </cell>
        </row>
        <row r="223">
          <cell r="A223" t="str">
            <v>5-3-01-05-001  DEPRECIACIONES</v>
          </cell>
          <cell r="B223">
            <v>34717438</v>
          </cell>
          <cell r="C223">
            <v>0</v>
          </cell>
          <cell r="D223">
            <v>34717438</v>
          </cell>
          <cell r="E223">
            <v>0</v>
          </cell>
          <cell r="F223">
            <v>0</v>
          </cell>
          <cell r="G223">
            <v>0</v>
          </cell>
          <cell r="H223">
            <v>34717438</v>
          </cell>
          <cell r="I223">
            <v>0</v>
          </cell>
          <cell r="J223">
            <v>-34717438</v>
          </cell>
        </row>
        <row r="224">
          <cell r="A224" t="str">
            <v>5-3-01-05-002  DEPRECIACION BIENES EN LEASING</v>
          </cell>
          <cell r="B224">
            <v>489401485</v>
          </cell>
          <cell r="C224">
            <v>428226299</v>
          </cell>
          <cell r="D224">
            <v>61175186</v>
          </cell>
          <cell r="E224">
            <v>0</v>
          </cell>
          <cell r="F224">
            <v>0</v>
          </cell>
          <cell r="G224">
            <v>0</v>
          </cell>
          <cell r="H224">
            <v>61175186</v>
          </cell>
          <cell r="I224">
            <v>0</v>
          </cell>
          <cell r="J224">
            <v>-61175186</v>
          </cell>
        </row>
        <row r="225">
          <cell r="A225" t="str">
            <v>Sub-Totales</v>
          </cell>
          <cell r="B225">
            <v>12312087798</v>
          </cell>
          <cell r="C225">
            <v>12312087798</v>
          </cell>
          <cell r="D225">
            <v>3244652873</v>
          </cell>
          <cell r="E225">
            <v>3244652873</v>
          </cell>
          <cell r="F225">
            <v>2039978892</v>
          </cell>
          <cell r="G225">
            <v>2016576975</v>
          </cell>
          <cell r="H225">
            <v>1204673981</v>
          </cell>
          <cell r="I225">
            <v>1228075898</v>
          </cell>
          <cell r="J225">
            <v>0</v>
          </cell>
        </row>
        <row r="226">
          <cell r="A226" t="str">
            <v>Pérdidas / Ganancias</v>
          </cell>
          <cell r="B226"/>
          <cell r="C226"/>
          <cell r="D226"/>
          <cell r="E226"/>
          <cell r="F226"/>
          <cell r="G226">
            <v>23401917</v>
          </cell>
          <cell r="H226">
            <v>23401917</v>
          </cell>
          <cell r="I226"/>
          <cell r="J226">
            <v>0</v>
          </cell>
        </row>
        <row r="227">
          <cell r="A227" t="str">
            <v>Total General</v>
          </cell>
          <cell r="B227">
            <v>12312087798</v>
          </cell>
          <cell r="C227">
            <v>12312087798</v>
          </cell>
          <cell r="D227">
            <v>3244652873</v>
          </cell>
          <cell r="E227">
            <v>3244652873</v>
          </cell>
          <cell r="F227">
            <v>2039978892</v>
          </cell>
          <cell r="G227">
            <v>2039978892</v>
          </cell>
          <cell r="H227">
            <v>1228075898</v>
          </cell>
          <cell r="I227">
            <v>1228075898</v>
          </cell>
          <cell r="J227">
            <v>0</v>
          </cell>
        </row>
      </sheetData>
      <sheetData sheetId="17">
        <row r="1">
          <cell r="A1" t="str">
            <v>INVERSIONES SANTA FIDELMIRA LIMITADA</v>
          </cell>
          <cell r="B1"/>
          <cell r="C1"/>
          <cell r="D1"/>
          <cell r="E1"/>
          <cell r="F1"/>
          <cell r="G1"/>
          <cell r="H1"/>
          <cell r="I1"/>
        </row>
        <row r="2">
          <cell r="A2" t="str">
            <v>ARRIENDO, EXPLOTACION  BIENES INMUEBLES</v>
          </cell>
          <cell r="B2"/>
          <cell r="C2"/>
          <cell r="D2"/>
          <cell r="E2"/>
          <cell r="F2"/>
          <cell r="G2"/>
          <cell r="H2"/>
          <cell r="I2"/>
        </row>
        <row r="3">
          <cell r="A3" t="str">
            <v>MAIPU #599</v>
          </cell>
          <cell r="B3"/>
          <cell r="C3"/>
          <cell r="D3"/>
          <cell r="E3"/>
          <cell r="F3"/>
          <cell r="G3"/>
          <cell r="H3"/>
          <cell r="I3"/>
        </row>
        <row r="4">
          <cell r="A4" t="str">
            <v>LINARES</v>
          </cell>
          <cell r="B4"/>
          <cell r="C4"/>
          <cell r="D4"/>
          <cell r="E4"/>
          <cell r="F4"/>
          <cell r="G4"/>
          <cell r="H4"/>
          <cell r="I4"/>
        </row>
        <row r="5">
          <cell r="A5" t="str">
            <v>LINARES</v>
          </cell>
          <cell r="B5"/>
          <cell r="C5"/>
          <cell r="D5"/>
          <cell r="E5"/>
          <cell r="F5"/>
          <cell r="G5"/>
          <cell r="H5"/>
          <cell r="I5"/>
        </row>
        <row r="6">
          <cell r="A6" t="str">
            <v>79.991.280-5</v>
          </cell>
          <cell r="B6"/>
          <cell r="C6"/>
          <cell r="D6"/>
          <cell r="E6"/>
          <cell r="F6"/>
          <cell r="G6"/>
          <cell r="H6" t="str">
            <v>Fecha :</v>
          </cell>
          <cell r="I6" t="str">
            <v>06/11/2025</v>
          </cell>
        </row>
        <row r="7">
          <cell r="A7"/>
          <cell r="B7"/>
          <cell r="C7"/>
          <cell r="D7"/>
          <cell r="E7"/>
          <cell r="F7"/>
          <cell r="G7"/>
          <cell r="H7"/>
          <cell r="I7"/>
        </row>
        <row r="8">
          <cell r="A8" t="str">
            <v>Balance Tributario</v>
          </cell>
          <cell r="B8"/>
          <cell r="C8"/>
          <cell r="D8"/>
          <cell r="E8"/>
          <cell r="F8"/>
          <cell r="G8"/>
          <cell r="H8"/>
          <cell r="I8"/>
        </row>
        <row r="9">
          <cell r="A9" t="str">
            <v xml:space="preserve"> Desde :Septiembre/2025</v>
          </cell>
          <cell r="B9"/>
          <cell r="C9"/>
          <cell r="D9"/>
          <cell r="E9"/>
          <cell r="F9"/>
          <cell r="G9"/>
          <cell r="H9"/>
          <cell r="I9"/>
        </row>
        <row r="10">
          <cell r="A10" t="str">
            <v xml:space="preserve"> Hasta :Septiembre/2025</v>
          </cell>
          <cell r="B10"/>
          <cell r="C10"/>
          <cell r="D10"/>
          <cell r="E10"/>
          <cell r="F10"/>
          <cell r="G10"/>
          <cell r="H10"/>
          <cell r="I10"/>
        </row>
        <row r="11">
          <cell r="A11"/>
          <cell r="B11"/>
          <cell r="C11"/>
          <cell r="D11"/>
          <cell r="E11"/>
          <cell r="F11"/>
          <cell r="G11"/>
          <cell r="H11"/>
          <cell r="I11"/>
        </row>
        <row r="12">
          <cell r="A12" t="str">
            <v>Cuenta Contable</v>
          </cell>
          <cell r="B12" t="str">
            <v>Valores Acumulados</v>
          </cell>
          <cell r="C12"/>
          <cell r="D12" t="str">
            <v>Saldos</v>
          </cell>
          <cell r="E12"/>
          <cell r="F12" t="str">
            <v>Inventario</v>
          </cell>
          <cell r="G12"/>
          <cell r="H12" t="str">
            <v>Resultados</v>
          </cell>
          <cell r="I12"/>
        </row>
        <row r="13">
          <cell r="A13"/>
          <cell r="B13" t="str">
            <v>Débitos</v>
          </cell>
          <cell r="C13" t="str">
            <v>Créditos</v>
          </cell>
          <cell r="D13" t="str">
            <v>Deudor</v>
          </cell>
          <cell r="E13" t="str">
            <v>Acreedor</v>
          </cell>
          <cell r="F13" t="str">
            <v>Activo</v>
          </cell>
          <cell r="G13" t="str">
            <v>Pasivo</v>
          </cell>
          <cell r="H13" t="str">
            <v>Pérdida</v>
          </cell>
          <cell r="I13" t="str">
            <v>Ganancia</v>
          </cell>
        </row>
        <row r="14">
          <cell r="A14" t="str">
            <v>1-1-10-01-004  CAJA CHICA OUTLET TALCA</v>
          </cell>
          <cell r="B14">
            <v>3000000</v>
          </cell>
          <cell r="C14">
            <v>2117666</v>
          </cell>
          <cell r="D14">
            <v>882334</v>
          </cell>
          <cell r="E14">
            <v>0</v>
          </cell>
          <cell r="F14">
            <v>882334</v>
          </cell>
          <cell r="G14">
            <v>0</v>
          </cell>
          <cell r="H14">
            <v>0</v>
          </cell>
          <cell r="I14">
            <v>0</v>
          </cell>
          <cell r="J14">
            <v>882334</v>
          </cell>
        </row>
        <row r="15">
          <cell r="A15" t="str">
            <v>1-1-10-01-005  CAJA CHICA LINARES</v>
          </cell>
          <cell r="B15">
            <v>2262340</v>
          </cell>
          <cell r="C15">
            <v>1164784</v>
          </cell>
          <cell r="D15">
            <v>1097556</v>
          </cell>
          <cell r="E15">
            <v>0</v>
          </cell>
          <cell r="F15">
            <v>1097556</v>
          </cell>
          <cell r="G15">
            <v>0</v>
          </cell>
          <cell r="H15">
            <v>0</v>
          </cell>
          <cell r="I15">
            <v>0</v>
          </cell>
          <cell r="J15">
            <v>1097556</v>
          </cell>
        </row>
        <row r="16">
          <cell r="A16" t="str">
            <v>1-1-10-01-007  CAJA CHICA SANTIAGO</v>
          </cell>
          <cell r="B16">
            <v>195473</v>
          </cell>
          <cell r="C16">
            <v>515567</v>
          </cell>
          <cell r="D16">
            <v>0</v>
          </cell>
          <cell r="E16">
            <v>320094</v>
          </cell>
          <cell r="F16">
            <v>0</v>
          </cell>
          <cell r="G16">
            <v>320094</v>
          </cell>
          <cell r="H16">
            <v>0</v>
          </cell>
          <cell r="I16">
            <v>0</v>
          </cell>
          <cell r="J16">
            <v>-320094</v>
          </cell>
        </row>
        <row r="17">
          <cell r="A17" t="str">
            <v>1-1-10-01-008  CAJA CHICA OFICINAS SANTIAGO</v>
          </cell>
          <cell r="B17">
            <v>4483200</v>
          </cell>
          <cell r="C17">
            <v>2998083</v>
          </cell>
          <cell r="D17">
            <v>1485117</v>
          </cell>
          <cell r="E17">
            <v>0</v>
          </cell>
          <cell r="F17">
            <v>1485117</v>
          </cell>
          <cell r="G17">
            <v>0</v>
          </cell>
          <cell r="H17">
            <v>0</v>
          </cell>
          <cell r="I17">
            <v>0</v>
          </cell>
          <cell r="J17">
            <v>1485117</v>
          </cell>
        </row>
        <row r="18">
          <cell r="A18" t="str">
            <v>1-1-10-01-009  CAJA CHICA OFICINA GERENCIAL</v>
          </cell>
          <cell r="B18">
            <v>750000</v>
          </cell>
          <cell r="C18">
            <v>233026</v>
          </cell>
          <cell r="D18">
            <v>516974</v>
          </cell>
          <cell r="E18">
            <v>0</v>
          </cell>
          <cell r="F18">
            <v>516974</v>
          </cell>
          <cell r="G18">
            <v>0</v>
          </cell>
          <cell r="H18">
            <v>0</v>
          </cell>
          <cell r="I18">
            <v>0</v>
          </cell>
          <cell r="J18">
            <v>516974</v>
          </cell>
        </row>
        <row r="19">
          <cell r="A19" t="str">
            <v>1-1-10-02-002  BANCO SANTANDER 25996240</v>
          </cell>
          <cell r="B19">
            <v>1924902253</v>
          </cell>
          <cell r="C19">
            <v>1928117433</v>
          </cell>
          <cell r="D19">
            <v>0</v>
          </cell>
          <cell r="E19">
            <v>3215180</v>
          </cell>
          <cell r="F19">
            <v>0</v>
          </cell>
          <cell r="G19">
            <v>3215180</v>
          </cell>
          <cell r="H19">
            <v>0</v>
          </cell>
          <cell r="I19">
            <v>0</v>
          </cell>
          <cell r="J19">
            <v>-3215180</v>
          </cell>
        </row>
        <row r="20">
          <cell r="A20" t="str">
            <v>1-1-10-02-004  BANCO CREDITO E INVERSIONES</v>
          </cell>
          <cell r="B20">
            <v>167437742</v>
          </cell>
          <cell r="C20">
            <v>167437742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1-1-10-02-005  BANCO ITAU</v>
          </cell>
          <cell r="B21">
            <v>319936757</v>
          </cell>
          <cell r="C21">
            <v>387242774</v>
          </cell>
          <cell r="D21">
            <v>0</v>
          </cell>
          <cell r="E21">
            <v>67306017</v>
          </cell>
          <cell r="F21">
            <v>0</v>
          </cell>
          <cell r="G21">
            <v>67306017</v>
          </cell>
          <cell r="H21">
            <v>0</v>
          </cell>
          <cell r="I21">
            <v>0</v>
          </cell>
          <cell r="J21">
            <v>-67306017</v>
          </cell>
        </row>
        <row r="22">
          <cell r="A22" t="str">
            <v>1-1-10-02-006  BANCO INTERNACIONAL</v>
          </cell>
          <cell r="B22">
            <v>208897059</v>
          </cell>
          <cell r="C22">
            <v>208930878</v>
          </cell>
          <cell r="D22">
            <v>0</v>
          </cell>
          <cell r="E22">
            <v>33819</v>
          </cell>
          <cell r="F22">
            <v>0</v>
          </cell>
          <cell r="G22">
            <v>33819</v>
          </cell>
          <cell r="H22">
            <v>0</v>
          </cell>
          <cell r="I22">
            <v>0</v>
          </cell>
          <cell r="J22">
            <v>-33819</v>
          </cell>
        </row>
        <row r="23">
          <cell r="A23" t="str">
            <v>1-1-10-02-007  BANCO BCI CHILE DOLARES</v>
          </cell>
          <cell r="B23">
            <v>14335588</v>
          </cell>
          <cell r="C23">
            <v>98827</v>
          </cell>
          <cell r="D23">
            <v>14236761</v>
          </cell>
          <cell r="E23">
            <v>0</v>
          </cell>
          <cell r="F23">
            <v>14236761</v>
          </cell>
          <cell r="G23">
            <v>0</v>
          </cell>
          <cell r="H23">
            <v>0</v>
          </cell>
          <cell r="I23">
            <v>0</v>
          </cell>
          <cell r="J23">
            <v>14236761</v>
          </cell>
        </row>
        <row r="24">
          <cell r="A24" t="str">
            <v>1-1-20-01-003  ACCIONES CFINRENTAS BANCO SANTANDER</v>
          </cell>
          <cell r="B24">
            <v>23867588</v>
          </cell>
          <cell r="C24">
            <v>0</v>
          </cell>
          <cell r="D24">
            <v>23867588</v>
          </cell>
          <cell r="E24">
            <v>0</v>
          </cell>
          <cell r="F24">
            <v>23867588</v>
          </cell>
          <cell r="G24">
            <v>0</v>
          </cell>
          <cell r="H24">
            <v>0</v>
          </cell>
          <cell r="I24">
            <v>0</v>
          </cell>
          <cell r="J24">
            <v>23867588</v>
          </cell>
        </row>
        <row r="25">
          <cell r="A25" t="str">
            <v>1-1-20-01-006  FONDOS MUTUOS BCI PESOS</v>
          </cell>
          <cell r="B25">
            <v>6960</v>
          </cell>
          <cell r="C25">
            <v>0</v>
          </cell>
          <cell r="D25">
            <v>6960</v>
          </cell>
          <cell r="E25">
            <v>0</v>
          </cell>
          <cell r="F25">
            <v>6960</v>
          </cell>
          <cell r="G25">
            <v>0</v>
          </cell>
          <cell r="H25">
            <v>0</v>
          </cell>
          <cell r="I25">
            <v>0</v>
          </cell>
          <cell r="J25">
            <v>6960</v>
          </cell>
        </row>
        <row r="26">
          <cell r="A26" t="str">
            <v>1-1-20-02-004  DAP BCI USD</v>
          </cell>
          <cell r="B26">
            <v>0</v>
          </cell>
          <cell r="C26">
            <v>424460</v>
          </cell>
          <cell r="D26">
            <v>0</v>
          </cell>
          <cell r="E26">
            <v>424460</v>
          </cell>
          <cell r="F26">
            <v>0</v>
          </cell>
          <cell r="G26">
            <v>424460</v>
          </cell>
          <cell r="H26">
            <v>0</v>
          </cell>
          <cell r="I26">
            <v>0</v>
          </cell>
          <cell r="J26">
            <v>-424460</v>
          </cell>
        </row>
        <row r="27">
          <cell r="A27" t="str">
            <v>1-1-20-02-006  DEPOSITOS A PLAZO BCO INTERNACIONAL</v>
          </cell>
          <cell r="B27">
            <v>898790330</v>
          </cell>
          <cell r="C27">
            <v>994455000</v>
          </cell>
          <cell r="D27">
            <v>0</v>
          </cell>
          <cell r="E27">
            <v>95664670</v>
          </cell>
          <cell r="F27">
            <v>0</v>
          </cell>
          <cell r="G27">
            <v>95664670</v>
          </cell>
          <cell r="H27">
            <v>0</v>
          </cell>
          <cell r="I27">
            <v>0</v>
          </cell>
          <cell r="J27">
            <v>-95664670</v>
          </cell>
        </row>
        <row r="28">
          <cell r="A28" t="str">
            <v>1-1-20-04-004  INVERSIONES FI BTG PACTUAL RENTAS EN PESOS</v>
          </cell>
          <cell r="B28">
            <v>39251800</v>
          </cell>
          <cell r="C28">
            <v>0</v>
          </cell>
          <cell r="D28">
            <v>39251800</v>
          </cell>
          <cell r="E28">
            <v>0</v>
          </cell>
          <cell r="F28">
            <v>39251800</v>
          </cell>
          <cell r="G28">
            <v>0</v>
          </cell>
          <cell r="H28">
            <v>0</v>
          </cell>
          <cell r="I28">
            <v>0</v>
          </cell>
          <cell r="J28">
            <v>39251800</v>
          </cell>
        </row>
        <row r="29">
          <cell r="A29" t="str">
            <v>1-1-20-04-005  INVERSIONES BTG FONDO MINING EN DOLARES</v>
          </cell>
          <cell r="B29">
            <v>0</v>
          </cell>
          <cell r="C29">
            <v>12</v>
          </cell>
          <cell r="D29">
            <v>0</v>
          </cell>
          <cell r="E29">
            <v>12</v>
          </cell>
          <cell r="F29">
            <v>0</v>
          </cell>
          <cell r="G29">
            <v>12</v>
          </cell>
          <cell r="H29">
            <v>0</v>
          </cell>
          <cell r="I29">
            <v>0</v>
          </cell>
          <cell r="J29">
            <v>-12</v>
          </cell>
        </row>
        <row r="30">
          <cell r="A30" t="str">
            <v>1-1-20-04-006  BANCHILE CORREDORES DE BOLSA DOLARES</v>
          </cell>
          <cell r="B30">
            <v>0</v>
          </cell>
          <cell r="C30">
            <v>146369</v>
          </cell>
          <cell r="D30">
            <v>0</v>
          </cell>
          <cell r="E30">
            <v>146369</v>
          </cell>
          <cell r="F30">
            <v>0</v>
          </cell>
          <cell r="G30">
            <v>146369</v>
          </cell>
          <cell r="H30">
            <v>0</v>
          </cell>
          <cell r="I30">
            <v>0</v>
          </cell>
          <cell r="J30">
            <v>-146369</v>
          </cell>
        </row>
        <row r="31">
          <cell r="A31" t="str">
            <v>1-1-20-04-009  ACCIONES BCI CORREDOR BOLSA</v>
          </cell>
          <cell r="B31">
            <v>1499817</v>
          </cell>
          <cell r="C31">
            <v>0</v>
          </cell>
          <cell r="D31">
            <v>1499817</v>
          </cell>
          <cell r="E31">
            <v>0</v>
          </cell>
          <cell r="F31">
            <v>1499817</v>
          </cell>
          <cell r="G31">
            <v>0</v>
          </cell>
          <cell r="H31">
            <v>0</v>
          </cell>
          <cell r="I31">
            <v>0</v>
          </cell>
          <cell r="J31">
            <v>1499817</v>
          </cell>
        </row>
        <row r="32">
          <cell r="A32" t="str">
            <v>1-1-20-04-010  INVERSION  NEO-RENTAS ADM.</v>
          </cell>
          <cell r="B32">
            <v>2312680</v>
          </cell>
          <cell r="C32">
            <v>0</v>
          </cell>
          <cell r="D32">
            <v>2312680</v>
          </cell>
          <cell r="E32">
            <v>0</v>
          </cell>
          <cell r="F32">
            <v>2312680</v>
          </cell>
          <cell r="G32">
            <v>0</v>
          </cell>
          <cell r="H32">
            <v>0</v>
          </cell>
          <cell r="I32">
            <v>0</v>
          </cell>
          <cell r="J32">
            <v>2312680</v>
          </cell>
        </row>
        <row r="33">
          <cell r="A33" t="str">
            <v>1-1-20-04-013  FONDO MUTUO BTG MONEY MARKET PESOS</v>
          </cell>
          <cell r="B33">
            <v>27335</v>
          </cell>
          <cell r="C33">
            <v>0</v>
          </cell>
          <cell r="D33">
            <v>27335</v>
          </cell>
          <cell r="E33">
            <v>0</v>
          </cell>
          <cell r="F33">
            <v>27335</v>
          </cell>
          <cell r="G33">
            <v>0</v>
          </cell>
          <cell r="H33">
            <v>0</v>
          </cell>
          <cell r="I33">
            <v>0</v>
          </cell>
          <cell r="J33">
            <v>27335</v>
          </cell>
        </row>
        <row r="34">
          <cell r="A34" t="str">
            <v>1-1-30-01-004  POVISION INGRESOS</v>
          </cell>
          <cell r="B34">
            <v>192019758</v>
          </cell>
          <cell r="C34">
            <v>209789227</v>
          </cell>
          <cell r="D34">
            <v>0</v>
          </cell>
          <cell r="E34">
            <v>17769469</v>
          </cell>
          <cell r="F34">
            <v>0</v>
          </cell>
          <cell r="G34">
            <v>17769469</v>
          </cell>
          <cell r="H34">
            <v>0</v>
          </cell>
          <cell r="I34">
            <v>0</v>
          </cell>
          <cell r="J34">
            <v>-17769469</v>
          </cell>
        </row>
        <row r="35">
          <cell r="A35" t="str">
            <v>1-1-30-01-005  CLIENTES 2</v>
          </cell>
          <cell r="B35">
            <v>1339624121</v>
          </cell>
          <cell r="C35">
            <v>1528983107</v>
          </cell>
          <cell r="D35">
            <v>0</v>
          </cell>
          <cell r="E35">
            <v>189358986</v>
          </cell>
          <cell r="F35">
            <v>0</v>
          </cell>
          <cell r="G35">
            <v>189358986</v>
          </cell>
          <cell r="H35">
            <v>0</v>
          </cell>
          <cell r="I35">
            <v>0</v>
          </cell>
          <cell r="J35">
            <v>-189358986</v>
          </cell>
        </row>
        <row r="36">
          <cell r="A36" t="str">
            <v>1-1-30-01-008  CHEQUE EN CARTERAS (PLAN DE PAGO CLIENTES)</v>
          </cell>
          <cell r="B36">
            <v>11260311</v>
          </cell>
          <cell r="C36">
            <v>9028387</v>
          </cell>
          <cell r="D36">
            <v>2231924</v>
          </cell>
          <cell r="E36">
            <v>0</v>
          </cell>
          <cell r="F36">
            <v>2231924</v>
          </cell>
          <cell r="G36">
            <v>0</v>
          </cell>
          <cell r="H36">
            <v>0</v>
          </cell>
          <cell r="I36">
            <v>0</v>
          </cell>
          <cell r="J36">
            <v>2231924</v>
          </cell>
        </row>
        <row r="37">
          <cell r="A37" t="str">
            <v>1-1-40-01-003  ANTICIPO HONORARIOS</v>
          </cell>
          <cell r="B37">
            <v>0</v>
          </cell>
          <cell r="C37">
            <v>275000</v>
          </cell>
          <cell r="D37">
            <v>0</v>
          </cell>
          <cell r="E37">
            <v>275000</v>
          </cell>
          <cell r="F37">
            <v>0</v>
          </cell>
          <cell r="G37">
            <v>275000</v>
          </cell>
          <cell r="H37">
            <v>0</v>
          </cell>
          <cell r="I37">
            <v>0</v>
          </cell>
          <cell r="J37">
            <v>-275000</v>
          </cell>
        </row>
        <row r="38">
          <cell r="A38" t="str">
            <v>1-1-40-01-006  CTA.CTE. AL PERSONAL</v>
          </cell>
          <cell r="B38">
            <v>0</v>
          </cell>
          <cell r="C38">
            <v>200000</v>
          </cell>
          <cell r="D38">
            <v>0</v>
          </cell>
          <cell r="E38">
            <v>200000</v>
          </cell>
          <cell r="F38">
            <v>0</v>
          </cell>
          <cell r="G38">
            <v>200000</v>
          </cell>
          <cell r="H38">
            <v>0</v>
          </cell>
          <cell r="I38">
            <v>0</v>
          </cell>
          <cell r="J38">
            <v>-200000</v>
          </cell>
        </row>
        <row r="39">
          <cell r="A39" t="str">
            <v>1-1-40-01-010  CTA X COBRAR INV.PRIME CAPITAL INTERNACIONAL (EX SEGOVIA SA)</v>
          </cell>
          <cell r="B39">
            <v>0</v>
          </cell>
          <cell r="C39">
            <v>14443621</v>
          </cell>
          <cell r="D39">
            <v>0</v>
          </cell>
          <cell r="E39">
            <v>14443621</v>
          </cell>
          <cell r="F39">
            <v>0</v>
          </cell>
          <cell r="G39">
            <v>14443621</v>
          </cell>
          <cell r="H39">
            <v>0</v>
          </cell>
          <cell r="I39">
            <v>0</v>
          </cell>
          <cell r="J39">
            <v>-14443621</v>
          </cell>
        </row>
        <row r="40">
          <cell r="A40" t="str">
            <v>1-1-40-01-011  PRESTAMO INVERSIONES GRAN DESIERTO</v>
          </cell>
          <cell r="B40">
            <v>1488812</v>
          </cell>
          <cell r="C40">
            <v>0</v>
          </cell>
          <cell r="D40">
            <v>1488812</v>
          </cell>
          <cell r="E40">
            <v>0</v>
          </cell>
          <cell r="F40">
            <v>1488812</v>
          </cell>
          <cell r="G40">
            <v>0</v>
          </cell>
          <cell r="H40">
            <v>0</v>
          </cell>
          <cell r="I40">
            <v>0</v>
          </cell>
          <cell r="J40">
            <v>1488812</v>
          </cell>
        </row>
        <row r="41">
          <cell r="A41" t="str">
            <v>1-1-40-01-012  MUTUOS POR COBRAR</v>
          </cell>
          <cell r="B41">
            <v>300329</v>
          </cell>
          <cell r="C41">
            <v>0</v>
          </cell>
          <cell r="D41">
            <v>300329</v>
          </cell>
          <cell r="E41">
            <v>0</v>
          </cell>
          <cell r="F41">
            <v>300329</v>
          </cell>
          <cell r="G41">
            <v>0</v>
          </cell>
          <cell r="H41">
            <v>0</v>
          </cell>
          <cell r="I41">
            <v>0</v>
          </cell>
          <cell r="J41">
            <v>300329</v>
          </cell>
        </row>
        <row r="42">
          <cell r="A42" t="str">
            <v>1-1-40-01-014  CTA X COBRAR ISF DOLAR</v>
          </cell>
          <cell r="B42">
            <v>0</v>
          </cell>
          <cell r="C42">
            <v>14863737</v>
          </cell>
          <cell r="D42">
            <v>0</v>
          </cell>
          <cell r="E42">
            <v>14863737</v>
          </cell>
          <cell r="F42">
            <v>0</v>
          </cell>
          <cell r="G42">
            <v>14863737</v>
          </cell>
          <cell r="H42">
            <v>0</v>
          </cell>
          <cell r="I42">
            <v>0</v>
          </cell>
          <cell r="J42">
            <v>-14863737</v>
          </cell>
        </row>
        <row r="43">
          <cell r="A43" t="str">
            <v>1-1-40-01-017  ANTICIPO PROVEEDOR 3</v>
          </cell>
          <cell r="B43">
            <v>42794111</v>
          </cell>
          <cell r="C43">
            <v>42794111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1-1-40-01-020  ANTICIPO SUELDO (2)</v>
          </cell>
          <cell r="B44">
            <v>27600000</v>
          </cell>
          <cell r="C44">
            <v>27600000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1-1-40-01-023  MUTUOS POR COBRAR INV NUEVA FIDELMIRA</v>
          </cell>
          <cell r="B45">
            <v>5000000</v>
          </cell>
          <cell r="C45">
            <v>0</v>
          </cell>
          <cell r="D45">
            <v>5000000</v>
          </cell>
          <cell r="E45">
            <v>0</v>
          </cell>
          <cell r="F45">
            <v>5000000</v>
          </cell>
          <cell r="G45">
            <v>0</v>
          </cell>
          <cell r="H45">
            <v>0</v>
          </cell>
          <cell r="I45">
            <v>0</v>
          </cell>
          <cell r="J45">
            <v>5000000</v>
          </cell>
        </row>
        <row r="46">
          <cell r="A46" t="str">
            <v>1-1-40-01-024  MUTUOS POR COBRAR INVERSIONES EWA</v>
          </cell>
          <cell r="B46">
            <v>100000173</v>
          </cell>
          <cell r="C46">
            <v>0</v>
          </cell>
          <cell r="D46">
            <v>100000173</v>
          </cell>
          <cell r="E46">
            <v>0</v>
          </cell>
          <cell r="F46">
            <v>100000173</v>
          </cell>
          <cell r="G46">
            <v>0</v>
          </cell>
          <cell r="H46">
            <v>0</v>
          </cell>
          <cell r="I46">
            <v>0</v>
          </cell>
          <cell r="J46">
            <v>100000173</v>
          </cell>
        </row>
        <row r="47">
          <cell r="A47" t="str">
            <v>1-1-50-01-005  PAGARE POR COBRAR DOLE</v>
          </cell>
          <cell r="B47">
            <v>594504</v>
          </cell>
          <cell r="C47">
            <v>4821544</v>
          </cell>
          <cell r="D47">
            <v>0</v>
          </cell>
          <cell r="E47">
            <v>4227040</v>
          </cell>
          <cell r="F47">
            <v>0</v>
          </cell>
          <cell r="G47">
            <v>4227040</v>
          </cell>
          <cell r="H47">
            <v>0</v>
          </cell>
          <cell r="I47">
            <v>0</v>
          </cell>
          <cell r="J47">
            <v>-4227040</v>
          </cell>
        </row>
        <row r="48">
          <cell r="A48" t="str">
            <v>1-1-50-01-006  CTA, POR COBRAR DINAMITY</v>
          </cell>
          <cell r="B48">
            <v>295199</v>
          </cell>
          <cell r="C48">
            <v>0</v>
          </cell>
          <cell r="D48">
            <v>295199</v>
          </cell>
          <cell r="E48">
            <v>0</v>
          </cell>
          <cell r="F48">
            <v>295199</v>
          </cell>
          <cell r="G48">
            <v>0</v>
          </cell>
          <cell r="H48">
            <v>0</v>
          </cell>
          <cell r="I48">
            <v>0</v>
          </cell>
          <cell r="J48">
            <v>295199</v>
          </cell>
        </row>
        <row r="49">
          <cell r="A49" t="str">
            <v>1-1-50-01-007  PAGARES POR COBRAR INMOBILIARIA CUATRO</v>
          </cell>
          <cell r="B49">
            <v>201052</v>
          </cell>
          <cell r="C49">
            <v>3694672</v>
          </cell>
          <cell r="D49">
            <v>0</v>
          </cell>
          <cell r="E49">
            <v>3493620</v>
          </cell>
          <cell r="F49">
            <v>0</v>
          </cell>
          <cell r="G49">
            <v>3493620</v>
          </cell>
          <cell r="H49">
            <v>0</v>
          </cell>
          <cell r="I49">
            <v>0</v>
          </cell>
          <cell r="J49">
            <v>-3493620</v>
          </cell>
        </row>
        <row r="50">
          <cell r="A50" t="str">
            <v>1-1-50-01-008  CUENTA POR COBRAR INMOB VALDEPEÑAS SPA</v>
          </cell>
          <cell r="B50">
            <v>6959428</v>
          </cell>
          <cell r="C50">
            <v>0</v>
          </cell>
          <cell r="D50">
            <v>6959428</v>
          </cell>
          <cell r="E50">
            <v>0</v>
          </cell>
          <cell r="F50">
            <v>6959428</v>
          </cell>
          <cell r="G50">
            <v>0</v>
          </cell>
          <cell r="H50">
            <v>0</v>
          </cell>
          <cell r="I50">
            <v>0</v>
          </cell>
          <cell r="J50">
            <v>6959428</v>
          </cell>
        </row>
        <row r="51">
          <cell r="A51" t="str">
            <v>1-1-50-01-009  CUENTA POR COBRAR INMOB LIRCAY SPA</v>
          </cell>
          <cell r="B51">
            <v>3551187</v>
          </cell>
          <cell r="C51">
            <v>0</v>
          </cell>
          <cell r="D51">
            <v>3551187</v>
          </cell>
          <cell r="E51">
            <v>0</v>
          </cell>
          <cell r="F51">
            <v>3551187</v>
          </cell>
          <cell r="G51">
            <v>0</v>
          </cell>
          <cell r="H51">
            <v>0</v>
          </cell>
          <cell r="I51">
            <v>0</v>
          </cell>
          <cell r="J51">
            <v>3551187</v>
          </cell>
        </row>
        <row r="52">
          <cell r="A52" t="str">
            <v>1-1-60-01-001  INT. DIF. LEASING VALPO- C/P</v>
          </cell>
          <cell r="B52">
            <v>0</v>
          </cell>
          <cell r="C52">
            <v>239324</v>
          </cell>
          <cell r="D52">
            <v>0</v>
          </cell>
          <cell r="E52">
            <v>239324</v>
          </cell>
          <cell r="F52">
            <v>0</v>
          </cell>
          <cell r="G52">
            <v>239324</v>
          </cell>
          <cell r="H52">
            <v>0</v>
          </cell>
          <cell r="I52">
            <v>0</v>
          </cell>
          <cell r="J52">
            <v>-239324</v>
          </cell>
        </row>
        <row r="53">
          <cell r="A53" t="str">
            <v>1-1-60-01-002  INT. DIF. LEASING CAUQUENES C/P</v>
          </cell>
          <cell r="B53">
            <v>0</v>
          </cell>
          <cell r="C53">
            <v>186678</v>
          </cell>
          <cell r="D53">
            <v>0</v>
          </cell>
          <cell r="E53">
            <v>186678</v>
          </cell>
          <cell r="F53">
            <v>0</v>
          </cell>
          <cell r="G53">
            <v>186678</v>
          </cell>
          <cell r="H53">
            <v>0</v>
          </cell>
          <cell r="I53">
            <v>0</v>
          </cell>
          <cell r="J53">
            <v>-186678</v>
          </cell>
        </row>
        <row r="54">
          <cell r="A54" t="str">
            <v>1-1-60-01-003  INTERES DIF.LEASING-OUTLET C/P</v>
          </cell>
          <cell r="B54">
            <v>0</v>
          </cell>
          <cell r="C54">
            <v>749499</v>
          </cell>
          <cell r="D54">
            <v>0</v>
          </cell>
          <cell r="E54">
            <v>749499</v>
          </cell>
          <cell r="F54">
            <v>0</v>
          </cell>
          <cell r="G54">
            <v>749499</v>
          </cell>
          <cell r="H54">
            <v>0</v>
          </cell>
          <cell r="I54">
            <v>0</v>
          </cell>
          <cell r="J54">
            <v>-749499</v>
          </cell>
        </row>
        <row r="55">
          <cell r="A55" t="str">
            <v>1-1-60-01-011  INT.DIF.LEASING VALPO L/P</v>
          </cell>
          <cell r="B55">
            <v>0</v>
          </cell>
          <cell r="C55">
            <v>2126396</v>
          </cell>
          <cell r="D55">
            <v>0</v>
          </cell>
          <cell r="E55">
            <v>2126396</v>
          </cell>
          <cell r="F55">
            <v>0</v>
          </cell>
          <cell r="G55">
            <v>2126396</v>
          </cell>
          <cell r="H55">
            <v>0</v>
          </cell>
          <cell r="I55">
            <v>0</v>
          </cell>
          <cell r="J55">
            <v>-2126396</v>
          </cell>
        </row>
        <row r="56">
          <cell r="A56" t="str">
            <v>1-1-60-01-012  INT.DIF.LEASING CAUQUENES L/P</v>
          </cell>
          <cell r="B56">
            <v>0</v>
          </cell>
          <cell r="C56">
            <v>1701324</v>
          </cell>
          <cell r="D56">
            <v>0</v>
          </cell>
          <cell r="E56">
            <v>1701324</v>
          </cell>
          <cell r="F56">
            <v>0</v>
          </cell>
          <cell r="G56">
            <v>1701324</v>
          </cell>
          <cell r="H56">
            <v>0</v>
          </cell>
          <cell r="I56">
            <v>0</v>
          </cell>
          <cell r="J56">
            <v>-1701324</v>
          </cell>
        </row>
        <row r="57">
          <cell r="A57" t="str">
            <v>1-1-60-01-013  INTERES DIF. LEASING OUTLET-L/P</v>
          </cell>
          <cell r="B57">
            <v>0</v>
          </cell>
          <cell r="C57">
            <v>38671127</v>
          </cell>
          <cell r="D57">
            <v>0</v>
          </cell>
          <cell r="E57">
            <v>38671127</v>
          </cell>
          <cell r="F57">
            <v>0</v>
          </cell>
          <cell r="G57">
            <v>38671127</v>
          </cell>
          <cell r="H57">
            <v>0</v>
          </cell>
          <cell r="I57">
            <v>0</v>
          </cell>
          <cell r="J57">
            <v>-38671127</v>
          </cell>
        </row>
        <row r="58">
          <cell r="A58" t="str">
            <v>1-1-60-01-014  INTERESES DIF VEHICULOS LEASING CP</v>
          </cell>
          <cell r="B58">
            <v>0</v>
          </cell>
          <cell r="C58">
            <v>755598</v>
          </cell>
          <cell r="D58">
            <v>0</v>
          </cell>
          <cell r="E58">
            <v>755598</v>
          </cell>
          <cell r="F58">
            <v>0</v>
          </cell>
          <cell r="G58">
            <v>755598</v>
          </cell>
          <cell r="H58">
            <v>0</v>
          </cell>
          <cell r="I58">
            <v>0</v>
          </cell>
          <cell r="J58">
            <v>-755598</v>
          </cell>
        </row>
        <row r="59">
          <cell r="A59" t="str">
            <v>1-1-60-01-015  INTERESES DIF VEHICULOS LEASING LP</v>
          </cell>
          <cell r="B59">
            <v>0</v>
          </cell>
          <cell r="C59">
            <v>35687</v>
          </cell>
          <cell r="D59">
            <v>0</v>
          </cell>
          <cell r="E59">
            <v>35687</v>
          </cell>
          <cell r="F59">
            <v>0</v>
          </cell>
          <cell r="G59">
            <v>35687</v>
          </cell>
          <cell r="H59">
            <v>0</v>
          </cell>
          <cell r="I59">
            <v>0</v>
          </cell>
          <cell r="J59">
            <v>-35687</v>
          </cell>
        </row>
        <row r="60">
          <cell r="A60" t="str">
            <v>1-1-60-01-016  INTER DIF  HIPOTECARIO LOS MORROS CP</v>
          </cell>
          <cell r="B60">
            <v>0</v>
          </cell>
          <cell r="C60">
            <v>387907</v>
          </cell>
          <cell r="D60">
            <v>0</v>
          </cell>
          <cell r="E60">
            <v>387907</v>
          </cell>
          <cell r="F60">
            <v>0</v>
          </cell>
          <cell r="G60">
            <v>387907</v>
          </cell>
          <cell r="H60">
            <v>0</v>
          </cell>
          <cell r="I60">
            <v>0</v>
          </cell>
          <cell r="J60">
            <v>-387907</v>
          </cell>
        </row>
        <row r="61">
          <cell r="A61" t="str">
            <v>1-1-60-01-017  INTER DIF HIPOTECARIO LOS MORROS LP</v>
          </cell>
          <cell r="B61">
            <v>0</v>
          </cell>
          <cell r="C61">
            <v>11315061</v>
          </cell>
          <cell r="D61">
            <v>0</v>
          </cell>
          <cell r="E61">
            <v>11315061</v>
          </cell>
          <cell r="F61">
            <v>0</v>
          </cell>
          <cell r="G61">
            <v>11315061</v>
          </cell>
          <cell r="H61">
            <v>0</v>
          </cell>
          <cell r="I61">
            <v>0</v>
          </cell>
          <cell r="J61">
            <v>-11315061</v>
          </cell>
        </row>
        <row r="62">
          <cell r="A62" t="str">
            <v>1-1-60-01-018  INTERESES DIF INTERNACIONAL CP M$600</v>
          </cell>
          <cell r="B62">
            <v>0</v>
          </cell>
          <cell r="C62">
            <v>4268088</v>
          </cell>
          <cell r="D62">
            <v>0</v>
          </cell>
          <cell r="E62">
            <v>4268088</v>
          </cell>
          <cell r="F62">
            <v>0</v>
          </cell>
          <cell r="G62">
            <v>4268088</v>
          </cell>
          <cell r="H62">
            <v>0</v>
          </cell>
          <cell r="I62">
            <v>0</v>
          </cell>
          <cell r="J62">
            <v>-4268088</v>
          </cell>
        </row>
        <row r="63">
          <cell r="A63" t="str">
            <v>1-1-60-01-019  INTERESES DIF INTERNACIONAL LP M$600</v>
          </cell>
          <cell r="B63">
            <v>0</v>
          </cell>
          <cell r="C63">
            <v>1278640</v>
          </cell>
          <cell r="D63">
            <v>0</v>
          </cell>
          <cell r="E63">
            <v>1278640</v>
          </cell>
          <cell r="F63">
            <v>0</v>
          </cell>
          <cell r="G63">
            <v>1278640</v>
          </cell>
          <cell r="H63">
            <v>0</v>
          </cell>
          <cell r="I63">
            <v>0</v>
          </cell>
          <cell r="J63">
            <v>-1278640</v>
          </cell>
        </row>
        <row r="64">
          <cell r="A64" t="str">
            <v>1-1-60-01-020  INTERESES DIF INTERNACIONAL CP M$1.000</v>
          </cell>
          <cell r="B64">
            <v>0</v>
          </cell>
          <cell r="C64">
            <v>1678861</v>
          </cell>
          <cell r="D64">
            <v>0</v>
          </cell>
          <cell r="E64">
            <v>1678861</v>
          </cell>
          <cell r="F64">
            <v>0</v>
          </cell>
          <cell r="G64">
            <v>1678861</v>
          </cell>
          <cell r="H64">
            <v>0</v>
          </cell>
          <cell r="I64">
            <v>0</v>
          </cell>
          <cell r="J64">
            <v>-1678861</v>
          </cell>
        </row>
        <row r="65">
          <cell r="A65" t="str">
            <v>1-1-60-01-021  INTERESES DIF INTERNACIONAL LP M$1.000</v>
          </cell>
          <cell r="B65">
            <v>0</v>
          </cell>
          <cell r="C65">
            <v>5234472</v>
          </cell>
          <cell r="D65">
            <v>0</v>
          </cell>
          <cell r="E65">
            <v>5234472</v>
          </cell>
          <cell r="F65">
            <v>0</v>
          </cell>
          <cell r="G65">
            <v>5234472</v>
          </cell>
          <cell r="H65">
            <v>0</v>
          </cell>
          <cell r="I65">
            <v>0</v>
          </cell>
          <cell r="J65">
            <v>-5234472</v>
          </cell>
        </row>
        <row r="66">
          <cell r="A66" t="str">
            <v>1-1-70-01-001  IVA CREDITO FISCAL</v>
          </cell>
          <cell r="B66">
            <v>106421261</v>
          </cell>
          <cell r="C66">
            <v>106421261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1-1-70-01-010  INTER. DIF. LEASING 1 SUR 1990 CP</v>
          </cell>
          <cell r="B67">
            <v>0</v>
          </cell>
          <cell r="C67">
            <v>200950</v>
          </cell>
          <cell r="D67">
            <v>0</v>
          </cell>
          <cell r="E67">
            <v>200950</v>
          </cell>
          <cell r="F67">
            <v>0</v>
          </cell>
          <cell r="G67">
            <v>200950</v>
          </cell>
          <cell r="H67">
            <v>0</v>
          </cell>
          <cell r="I67">
            <v>0</v>
          </cell>
          <cell r="J67">
            <v>-200950</v>
          </cell>
        </row>
        <row r="68">
          <cell r="A68" t="str">
            <v>1-1-70-01-011  INTER. DIF. LEASING SAN JAVIER CP</v>
          </cell>
          <cell r="B68">
            <v>0</v>
          </cell>
          <cell r="C68">
            <v>172782</v>
          </cell>
          <cell r="D68">
            <v>0</v>
          </cell>
          <cell r="E68">
            <v>172782</v>
          </cell>
          <cell r="F68">
            <v>0</v>
          </cell>
          <cell r="G68">
            <v>172782</v>
          </cell>
          <cell r="H68">
            <v>0</v>
          </cell>
          <cell r="I68">
            <v>0</v>
          </cell>
          <cell r="J68">
            <v>-172782</v>
          </cell>
        </row>
        <row r="69">
          <cell r="A69" t="str">
            <v>1-1-70-01-012  INTER. DIF. LEASING COLIN 0240 CP</v>
          </cell>
          <cell r="B69">
            <v>0</v>
          </cell>
          <cell r="C69">
            <v>325203</v>
          </cell>
          <cell r="D69">
            <v>0</v>
          </cell>
          <cell r="E69">
            <v>325203</v>
          </cell>
          <cell r="F69">
            <v>0</v>
          </cell>
          <cell r="G69">
            <v>325203</v>
          </cell>
          <cell r="H69">
            <v>0</v>
          </cell>
          <cell r="I69">
            <v>0</v>
          </cell>
          <cell r="J69">
            <v>-325203</v>
          </cell>
        </row>
        <row r="70">
          <cell r="A70" t="str">
            <v>1-1-70-01-013  INTER. DIF. LEASING C. SATELITE CP</v>
          </cell>
          <cell r="B70">
            <v>0</v>
          </cell>
          <cell r="C70">
            <v>478107</v>
          </cell>
          <cell r="D70">
            <v>0</v>
          </cell>
          <cell r="E70">
            <v>478107</v>
          </cell>
          <cell r="F70">
            <v>0</v>
          </cell>
          <cell r="G70">
            <v>478107</v>
          </cell>
          <cell r="H70">
            <v>0</v>
          </cell>
          <cell r="I70">
            <v>0</v>
          </cell>
          <cell r="J70">
            <v>-478107</v>
          </cell>
        </row>
        <row r="71">
          <cell r="A71" t="str">
            <v>1-1-70-01-014  INTER. DIF. LEASING 11 ORIENTE CP</v>
          </cell>
          <cell r="B71">
            <v>0</v>
          </cell>
          <cell r="C71">
            <v>532263</v>
          </cell>
          <cell r="D71">
            <v>0</v>
          </cell>
          <cell r="E71">
            <v>532263</v>
          </cell>
          <cell r="F71">
            <v>0</v>
          </cell>
          <cell r="G71">
            <v>532263</v>
          </cell>
          <cell r="H71">
            <v>0</v>
          </cell>
          <cell r="I71">
            <v>0</v>
          </cell>
          <cell r="J71">
            <v>-532263</v>
          </cell>
        </row>
        <row r="72">
          <cell r="A72" t="str">
            <v>1-1-70-01-015  INTER. DIF. LEASING MAIPU 556 CP</v>
          </cell>
          <cell r="B72">
            <v>0</v>
          </cell>
          <cell r="C72">
            <v>471069</v>
          </cell>
          <cell r="D72">
            <v>0</v>
          </cell>
          <cell r="E72">
            <v>471069</v>
          </cell>
          <cell r="F72">
            <v>0</v>
          </cell>
          <cell r="G72">
            <v>471069</v>
          </cell>
          <cell r="H72">
            <v>0</v>
          </cell>
          <cell r="I72">
            <v>0</v>
          </cell>
          <cell r="J72">
            <v>-471069</v>
          </cell>
        </row>
        <row r="73">
          <cell r="A73" t="str">
            <v>1-1-70-01-016  INTER. DIF. LEASING BRASIL 648 CP</v>
          </cell>
          <cell r="B73">
            <v>0</v>
          </cell>
          <cell r="C73">
            <v>361153</v>
          </cell>
          <cell r="D73">
            <v>0</v>
          </cell>
          <cell r="E73">
            <v>361153</v>
          </cell>
          <cell r="F73">
            <v>0</v>
          </cell>
          <cell r="G73">
            <v>361153</v>
          </cell>
          <cell r="H73">
            <v>0</v>
          </cell>
          <cell r="I73">
            <v>0</v>
          </cell>
          <cell r="J73">
            <v>-361153</v>
          </cell>
        </row>
        <row r="74">
          <cell r="A74" t="str">
            <v>1-1-70-01-017  INTER. DIF. LEASING VIAL 224 CP</v>
          </cell>
          <cell r="B74">
            <v>0</v>
          </cell>
          <cell r="C74">
            <v>431813</v>
          </cell>
          <cell r="D74">
            <v>0</v>
          </cell>
          <cell r="E74">
            <v>431813</v>
          </cell>
          <cell r="F74">
            <v>0</v>
          </cell>
          <cell r="G74">
            <v>431813</v>
          </cell>
          <cell r="H74">
            <v>0</v>
          </cell>
          <cell r="I74">
            <v>0</v>
          </cell>
          <cell r="J74">
            <v>-431813</v>
          </cell>
        </row>
        <row r="75">
          <cell r="A75" t="str">
            <v>1-1-70-01-018  INTER. DIF. LEASING TALCA COLIN CP</v>
          </cell>
          <cell r="B75">
            <v>0</v>
          </cell>
          <cell r="C75">
            <v>3801874</v>
          </cell>
          <cell r="D75">
            <v>0</v>
          </cell>
          <cell r="E75">
            <v>3801874</v>
          </cell>
          <cell r="F75">
            <v>0</v>
          </cell>
          <cell r="G75">
            <v>3801874</v>
          </cell>
          <cell r="H75">
            <v>0</v>
          </cell>
          <cell r="I75">
            <v>0</v>
          </cell>
          <cell r="J75">
            <v>-3801874</v>
          </cell>
        </row>
        <row r="76">
          <cell r="A76" t="str">
            <v>1-1-70-01-019  INTER. DIF. HIPOTECARIO CP</v>
          </cell>
          <cell r="B76">
            <v>0</v>
          </cell>
          <cell r="C76">
            <v>654236</v>
          </cell>
          <cell r="D76">
            <v>0</v>
          </cell>
          <cell r="E76">
            <v>654236</v>
          </cell>
          <cell r="F76">
            <v>0</v>
          </cell>
          <cell r="G76">
            <v>654236</v>
          </cell>
          <cell r="H76">
            <v>0</v>
          </cell>
          <cell r="I76">
            <v>0</v>
          </cell>
          <cell r="J76">
            <v>-654236</v>
          </cell>
        </row>
        <row r="77">
          <cell r="A77" t="str">
            <v>1-1-70-01-020  REMANENTE CR FISCAL</v>
          </cell>
          <cell r="B77">
            <v>0</v>
          </cell>
          <cell r="C77">
            <v>10187739</v>
          </cell>
          <cell r="D77">
            <v>0</v>
          </cell>
          <cell r="E77">
            <v>10187739</v>
          </cell>
          <cell r="F77">
            <v>0</v>
          </cell>
          <cell r="G77">
            <v>10187739</v>
          </cell>
          <cell r="H77">
            <v>0</v>
          </cell>
          <cell r="I77">
            <v>0</v>
          </cell>
          <cell r="J77">
            <v>-10187739</v>
          </cell>
        </row>
        <row r="78">
          <cell r="A78" t="str">
            <v>1-1-70-01-025  INTER. DIF. LEASING 11 ORIENTE LP</v>
          </cell>
          <cell r="B78">
            <v>0</v>
          </cell>
          <cell r="C78">
            <v>212084</v>
          </cell>
          <cell r="D78">
            <v>0</v>
          </cell>
          <cell r="E78">
            <v>212084</v>
          </cell>
          <cell r="F78">
            <v>0</v>
          </cell>
          <cell r="G78">
            <v>212084</v>
          </cell>
          <cell r="H78">
            <v>0</v>
          </cell>
          <cell r="I78">
            <v>0</v>
          </cell>
          <cell r="J78">
            <v>-212084</v>
          </cell>
        </row>
        <row r="79">
          <cell r="A79" t="str">
            <v>1-1-70-01-026  INTER. DIF. LEASING MAIPU 556 LP</v>
          </cell>
          <cell r="B79">
            <v>0</v>
          </cell>
          <cell r="C79">
            <v>187701</v>
          </cell>
          <cell r="D79">
            <v>0</v>
          </cell>
          <cell r="E79">
            <v>187701</v>
          </cell>
          <cell r="F79">
            <v>0</v>
          </cell>
          <cell r="G79">
            <v>187701</v>
          </cell>
          <cell r="H79">
            <v>0</v>
          </cell>
          <cell r="I79">
            <v>0</v>
          </cell>
          <cell r="J79">
            <v>-187701</v>
          </cell>
        </row>
        <row r="80">
          <cell r="A80" t="str">
            <v>1-1-70-01-027  INTER. DIF. LEASING BRASIL 648 LP</v>
          </cell>
          <cell r="B80">
            <v>0</v>
          </cell>
          <cell r="C80">
            <v>143904</v>
          </cell>
          <cell r="D80">
            <v>0</v>
          </cell>
          <cell r="E80">
            <v>143904</v>
          </cell>
          <cell r="F80">
            <v>0</v>
          </cell>
          <cell r="G80">
            <v>143904</v>
          </cell>
          <cell r="H80">
            <v>0</v>
          </cell>
          <cell r="I80">
            <v>0</v>
          </cell>
          <cell r="J80">
            <v>-143904</v>
          </cell>
        </row>
        <row r="81">
          <cell r="A81" t="str">
            <v>1-1-70-01-028  INTER. DIF. LEASING VIAL 224 LP</v>
          </cell>
          <cell r="B81">
            <v>0</v>
          </cell>
          <cell r="C81">
            <v>172059</v>
          </cell>
          <cell r="D81">
            <v>0</v>
          </cell>
          <cell r="E81">
            <v>172059</v>
          </cell>
          <cell r="F81">
            <v>0</v>
          </cell>
          <cell r="G81">
            <v>172059</v>
          </cell>
          <cell r="H81">
            <v>0</v>
          </cell>
          <cell r="I81">
            <v>0</v>
          </cell>
          <cell r="J81">
            <v>-172059</v>
          </cell>
        </row>
        <row r="82">
          <cell r="A82" t="str">
            <v>1-1-70-01-029  INTER. DIF. LEASING TALCA COLIN LP</v>
          </cell>
          <cell r="B82">
            <v>0</v>
          </cell>
          <cell r="C82">
            <v>5310141</v>
          </cell>
          <cell r="D82">
            <v>0</v>
          </cell>
          <cell r="E82">
            <v>5310141</v>
          </cell>
          <cell r="F82">
            <v>0</v>
          </cell>
          <cell r="G82">
            <v>5310141</v>
          </cell>
          <cell r="H82">
            <v>0</v>
          </cell>
          <cell r="I82">
            <v>0</v>
          </cell>
          <cell r="J82">
            <v>-5310141</v>
          </cell>
        </row>
        <row r="83">
          <cell r="A83" t="str">
            <v>1-2-01-05-021  INMUEBLE CAMPO LINDO</v>
          </cell>
          <cell r="B83">
            <v>2645933</v>
          </cell>
          <cell r="C83">
            <v>0</v>
          </cell>
          <cell r="D83">
            <v>2645933</v>
          </cell>
          <cell r="E83">
            <v>0</v>
          </cell>
          <cell r="F83">
            <v>2645933</v>
          </cell>
          <cell r="G83">
            <v>0</v>
          </cell>
          <cell r="H83">
            <v>0</v>
          </cell>
          <cell r="I83">
            <v>0</v>
          </cell>
          <cell r="J83">
            <v>2645933</v>
          </cell>
        </row>
        <row r="84">
          <cell r="A84" t="str">
            <v>1-2-01-08-010  DEPREC. ACUM.  ACTIVOS EN LEASING</v>
          </cell>
          <cell r="B84">
            <v>489401485</v>
          </cell>
          <cell r="C84">
            <v>550576673</v>
          </cell>
          <cell r="D84">
            <v>0</v>
          </cell>
          <cell r="E84">
            <v>61175188</v>
          </cell>
          <cell r="F84">
            <v>0</v>
          </cell>
          <cell r="G84">
            <v>61175188</v>
          </cell>
          <cell r="H84">
            <v>0</v>
          </cell>
          <cell r="I84">
            <v>0</v>
          </cell>
          <cell r="J84">
            <v>-61175188</v>
          </cell>
        </row>
        <row r="85">
          <cell r="A85" t="str">
            <v>1-2-01-09-001  PROYECTOS</v>
          </cell>
          <cell r="B85">
            <v>1923259</v>
          </cell>
          <cell r="C85">
            <v>0</v>
          </cell>
          <cell r="D85">
            <v>1923259</v>
          </cell>
          <cell r="E85">
            <v>0</v>
          </cell>
          <cell r="F85">
            <v>1923259</v>
          </cell>
          <cell r="G85">
            <v>0</v>
          </cell>
          <cell r="H85">
            <v>0</v>
          </cell>
          <cell r="I85">
            <v>0</v>
          </cell>
          <cell r="J85">
            <v>1923259</v>
          </cell>
        </row>
        <row r="86">
          <cell r="A86" t="str">
            <v>1-2-02-01-001  DEP. ACUM. MUEBLES Y UTILES</v>
          </cell>
          <cell r="B86">
            <v>0</v>
          </cell>
          <cell r="C86">
            <v>487846</v>
          </cell>
          <cell r="D86">
            <v>0</v>
          </cell>
          <cell r="E86">
            <v>487846</v>
          </cell>
          <cell r="F86">
            <v>0</v>
          </cell>
          <cell r="G86">
            <v>487846</v>
          </cell>
          <cell r="H86">
            <v>0</v>
          </cell>
          <cell r="I86">
            <v>0</v>
          </cell>
          <cell r="J86">
            <v>-487846</v>
          </cell>
        </row>
        <row r="87">
          <cell r="A87" t="str">
            <v>1-2-02-02-001  DEP.ACUM. INSTALACIONES</v>
          </cell>
          <cell r="B87">
            <v>0</v>
          </cell>
          <cell r="C87">
            <v>14009</v>
          </cell>
          <cell r="D87">
            <v>0</v>
          </cell>
          <cell r="E87">
            <v>14009</v>
          </cell>
          <cell r="F87">
            <v>0</v>
          </cell>
          <cell r="G87">
            <v>14009</v>
          </cell>
          <cell r="H87">
            <v>0</v>
          </cell>
          <cell r="I87">
            <v>0</v>
          </cell>
          <cell r="J87">
            <v>-14009</v>
          </cell>
        </row>
        <row r="88">
          <cell r="A88" t="str">
            <v>1-2-02-05-001  DEP. ACUM. CONSTRUCCION PARRAL</v>
          </cell>
          <cell r="B88">
            <v>0</v>
          </cell>
          <cell r="C88">
            <v>390558</v>
          </cell>
          <cell r="D88">
            <v>0</v>
          </cell>
          <cell r="E88">
            <v>390558</v>
          </cell>
          <cell r="F88">
            <v>0</v>
          </cell>
          <cell r="G88">
            <v>390558</v>
          </cell>
          <cell r="H88">
            <v>0</v>
          </cell>
          <cell r="I88">
            <v>0</v>
          </cell>
          <cell r="J88">
            <v>-390558</v>
          </cell>
        </row>
        <row r="89">
          <cell r="A89" t="str">
            <v>1-2-02-05-002  DEP. ACUM. CONSTRUCCION LINARES</v>
          </cell>
          <cell r="B89">
            <v>0</v>
          </cell>
          <cell r="C89">
            <v>418936</v>
          </cell>
          <cell r="D89">
            <v>0</v>
          </cell>
          <cell r="E89">
            <v>418936</v>
          </cell>
          <cell r="F89">
            <v>0</v>
          </cell>
          <cell r="G89">
            <v>418936</v>
          </cell>
          <cell r="H89">
            <v>0</v>
          </cell>
          <cell r="I89">
            <v>0</v>
          </cell>
          <cell r="J89">
            <v>-418936</v>
          </cell>
        </row>
        <row r="90">
          <cell r="A90" t="str">
            <v>1-2-02-05-003  DEP. ACUM. CONSTRUCCION TALCA</v>
          </cell>
          <cell r="B90">
            <v>0</v>
          </cell>
          <cell r="C90">
            <v>1760097</v>
          </cell>
          <cell r="D90">
            <v>0</v>
          </cell>
          <cell r="E90">
            <v>1760097</v>
          </cell>
          <cell r="F90">
            <v>0</v>
          </cell>
          <cell r="G90">
            <v>1760097</v>
          </cell>
          <cell r="H90">
            <v>0</v>
          </cell>
          <cell r="I90">
            <v>0</v>
          </cell>
          <cell r="J90">
            <v>-1760097</v>
          </cell>
        </row>
        <row r="91">
          <cell r="A91" t="str">
            <v>1-2-02-05-004  DEP. ACUM. CONSTRUCCION RENCA</v>
          </cell>
          <cell r="B91">
            <v>0</v>
          </cell>
          <cell r="C91">
            <v>1099818</v>
          </cell>
          <cell r="D91">
            <v>0</v>
          </cell>
          <cell r="E91">
            <v>1099818</v>
          </cell>
          <cell r="F91">
            <v>0</v>
          </cell>
          <cell r="G91">
            <v>1099818</v>
          </cell>
          <cell r="H91">
            <v>0</v>
          </cell>
          <cell r="I91">
            <v>0</v>
          </cell>
          <cell r="J91">
            <v>-1099818</v>
          </cell>
        </row>
        <row r="92">
          <cell r="A92" t="str">
            <v>1-2-02-05-005  DEP. ACUM. CONSTRUCCION VICENTE VALDES</v>
          </cell>
          <cell r="B92">
            <v>0</v>
          </cell>
          <cell r="C92">
            <v>4413719</v>
          </cell>
          <cell r="D92">
            <v>0</v>
          </cell>
          <cell r="E92">
            <v>4413719</v>
          </cell>
          <cell r="F92">
            <v>0</v>
          </cell>
          <cell r="G92">
            <v>4413719</v>
          </cell>
          <cell r="H92">
            <v>0</v>
          </cell>
          <cell r="I92">
            <v>0</v>
          </cell>
          <cell r="J92">
            <v>-4413719</v>
          </cell>
        </row>
        <row r="93">
          <cell r="A93" t="str">
            <v>1-2-02-05-008  DEP. ACUM. CONSTRUCCION LOS MORROS</v>
          </cell>
          <cell r="B93">
            <v>0</v>
          </cell>
          <cell r="C93">
            <v>2418934</v>
          </cell>
          <cell r="D93">
            <v>0</v>
          </cell>
          <cell r="E93">
            <v>2418934</v>
          </cell>
          <cell r="F93">
            <v>0</v>
          </cell>
          <cell r="G93">
            <v>2418934</v>
          </cell>
          <cell r="H93">
            <v>0</v>
          </cell>
          <cell r="I93">
            <v>0</v>
          </cell>
          <cell r="J93">
            <v>-2418934</v>
          </cell>
        </row>
        <row r="94">
          <cell r="A94" t="str">
            <v>1-2-02-05-009  DEP. ACUM. CONSTRUCCION TALCA COLIN</v>
          </cell>
          <cell r="B94">
            <v>0</v>
          </cell>
          <cell r="C94">
            <v>4189946</v>
          </cell>
          <cell r="D94">
            <v>0</v>
          </cell>
          <cell r="E94">
            <v>4189946</v>
          </cell>
          <cell r="F94">
            <v>0</v>
          </cell>
          <cell r="G94">
            <v>4189946</v>
          </cell>
          <cell r="H94">
            <v>0</v>
          </cell>
          <cell r="I94">
            <v>0</v>
          </cell>
          <cell r="J94">
            <v>-4189946</v>
          </cell>
        </row>
        <row r="95">
          <cell r="A95" t="str">
            <v>1-2-02-05-010  DEP. ACUM. CONSTRUCCION TALAGANTE</v>
          </cell>
          <cell r="B95">
            <v>0</v>
          </cell>
          <cell r="C95">
            <v>1964954</v>
          </cell>
          <cell r="D95">
            <v>0</v>
          </cell>
          <cell r="E95">
            <v>1964954</v>
          </cell>
          <cell r="F95">
            <v>0</v>
          </cell>
          <cell r="G95">
            <v>1964954</v>
          </cell>
          <cell r="H95">
            <v>0</v>
          </cell>
          <cell r="I95">
            <v>0</v>
          </cell>
          <cell r="J95">
            <v>-1964954</v>
          </cell>
        </row>
        <row r="96">
          <cell r="A96" t="str">
            <v>1-2-02-05-011  DEP. ACUM. CONSTRUCCION J. ESPINOZA</v>
          </cell>
          <cell r="B96">
            <v>0</v>
          </cell>
          <cell r="C96">
            <v>1843616</v>
          </cell>
          <cell r="D96">
            <v>0</v>
          </cell>
          <cell r="E96">
            <v>1843616</v>
          </cell>
          <cell r="F96">
            <v>0</v>
          </cell>
          <cell r="G96">
            <v>1843616</v>
          </cell>
          <cell r="H96">
            <v>0</v>
          </cell>
          <cell r="I96">
            <v>0</v>
          </cell>
          <cell r="J96">
            <v>-1843616</v>
          </cell>
        </row>
        <row r="97">
          <cell r="A97" t="str">
            <v>1-2-02-05-019  DEPREC. ACUM. REÑACA NORTE</v>
          </cell>
          <cell r="B97">
            <v>0</v>
          </cell>
          <cell r="C97">
            <v>337008</v>
          </cell>
          <cell r="D97">
            <v>0</v>
          </cell>
          <cell r="E97">
            <v>337008</v>
          </cell>
          <cell r="F97">
            <v>0</v>
          </cell>
          <cell r="G97">
            <v>337008</v>
          </cell>
          <cell r="H97">
            <v>0</v>
          </cell>
          <cell r="I97">
            <v>0</v>
          </cell>
          <cell r="J97">
            <v>-337008</v>
          </cell>
        </row>
        <row r="98">
          <cell r="A98" t="str">
            <v>1-2-02-05-021  DEPRECACUM. PROY.GIMNASIO LINARES</v>
          </cell>
          <cell r="B98">
            <v>0</v>
          </cell>
          <cell r="C98">
            <v>2553241</v>
          </cell>
          <cell r="D98">
            <v>0</v>
          </cell>
          <cell r="E98">
            <v>2553241</v>
          </cell>
          <cell r="F98">
            <v>0</v>
          </cell>
          <cell r="G98">
            <v>2553241</v>
          </cell>
          <cell r="H98">
            <v>0</v>
          </cell>
          <cell r="I98">
            <v>0</v>
          </cell>
          <cell r="J98">
            <v>-2553241</v>
          </cell>
        </row>
        <row r="99">
          <cell r="A99" t="str">
            <v>1-2-02-05-027  DEP. ACUM. INM PELLUHUE</v>
          </cell>
          <cell r="B99">
            <v>0</v>
          </cell>
          <cell r="C99">
            <v>232908</v>
          </cell>
          <cell r="D99">
            <v>0</v>
          </cell>
          <cell r="E99">
            <v>232908</v>
          </cell>
          <cell r="F99">
            <v>0</v>
          </cell>
          <cell r="G99">
            <v>232908</v>
          </cell>
          <cell r="H99">
            <v>0</v>
          </cell>
          <cell r="I99">
            <v>0</v>
          </cell>
          <cell r="J99">
            <v>-232908</v>
          </cell>
        </row>
        <row r="100">
          <cell r="A100" t="str">
            <v>1-2-02-05-028  DEP. ACUM. INM. LOS MAITENES</v>
          </cell>
          <cell r="B100">
            <v>0</v>
          </cell>
          <cell r="C100">
            <v>2363951</v>
          </cell>
          <cell r="D100">
            <v>0</v>
          </cell>
          <cell r="E100">
            <v>2363951</v>
          </cell>
          <cell r="F100">
            <v>0</v>
          </cell>
          <cell r="G100">
            <v>2363951</v>
          </cell>
          <cell r="H100">
            <v>0</v>
          </cell>
          <cell r="I100">
            <v>0</v>
          </cell>
          <cell r="J100">
            <v>-2363951</v>
          </cell>
        </row>
        <row r="101">
          <cell r="A101" t="str">
            <v>1-2-02-05-030  DEP.ACUM. PROYECTO MULCHEN</v>
          </cell>
          <cell r="B101">
            <v>0</v>
          </cell>
          <cell r="C101">
            <v>4248319</v>
          </cell>
          <cell r="D101">
            <v>0</v>
          </cell>
          <cell r="E101">
            <v>4248319</v>
          </cell>
          <cell r="F101">
            <v>0</v>
          </cell>
          <cell r="G101">
            <v>4248319</v>
          </cell>
          <cell r="H101">
            <v>0</v>
          </cell>
          <cell r="I101">
            <v>0</v>
          </cell>
          <cell r="J101">
            <v>-4248319</v>
          </cell>
        </row>
        <row r="102">
          <cell r="A102" t="str">
            <v>1-2-02-05-603  DEP ACUMU EL TREBOL LINARES</v>
          </cell>
          <cell r="B102">
            <v>0</v>
          </cell>
          <cell r="C102">
            <v>2550017</v>
          </cell>
          <cell r="D102">
            <v>0</v>
          </cell>
          <cell r="E102">
            <v>2550017</v>
          </cell>
          <cell r="F102">
            <v>0</v>
          </cell>
          <cell r="G102">
            <v>2550017</v>
          </cell>
          <cell r="H102">
            <v>0</v>
          </cell>
          <cell r="I102">
            <v>0</v>
          </cell>
          <cell r="J102">
            <v>-2550017</v>
          </cell>
        </row>
        <row r="103">
          <cell r="A103" t="str">
            <v>1-2-02-06-001  DEP. ACUM. BIENES RAICES</v>
          </cell>
          <cell r="B103">
            <v>0</v>
          </cell>
          <cell r="C103">
            <v>3524947</v>
          </cell>
          <cell r="D103">
            <v>0</v>
          </cell>
          <cell r="E103">
            <v>3524947</v>
          </cell>
          <cell r="F103">
            <v>0</v>
          </cell>
          <cell r="G103">
            <v>3524947</v>
          </cell>
          <cell r="H103">
            <v>0</v>
          </cell>
          <cell r="I103">
            <v>0</v>
          </cell>
          <cell r="J103">
            <v>-3524947</v>
          </cell>
        </row>
        <row r="104">
          <cell r="A104" t="str">
            <v>1-3-01-02-003  BOLETA GARANTIAS LOCATARIOS (ORDEN)</v>
          </cell>
          <cell r="B104">
            <v>69258618</v>
          </cell>
          <cell r="C104">
            <v>67423411</v>
          </cell>
          <cell r="D104">
            <v>1835207</v>
          </cell>
          <cell r="E104">
            <v>0</v>
          </cell>
          <cell r="F104">
            <v>1835207</v>
          </cell>
          <cell r="G104">
            <v>0</v>
          </cell>
          <cell r="H104">
            <v>0</v>
          </cell>
          <cell r="I104">
            <v>0</v>
          </cell>
          <cell r="J104">
            <v>1835207</v>
          </cell>
        </row>
        <row r="105">
          <cell r="A105" t="str">
            <v>1-3-04-01-002  RETENCIONES JUDICIALES CAUSAS</v>
          </cell>
          <cell r="B105">
            <v>0</v>
          </cell>
          <cell r="C105">
            <v>17052933</v>
          </cell>
          <cell r="D105">
            <v>0</v>
          </cell>
          <cell r="E105">
            <v>17052933</v>
          </cell>
          <cell r="F105">
            <v>0</v>
          </cell>
          <cell r="G105">
            <v>17052933</v>
          </cell>
          <cell r="H105">
            <v>0</v>
          </cell>
          <cell r="I105">
            <v>0</v>
          </cell>
          <cell r="J105">
            <v>-17052933</v>
          </cell>
        </row>
        <row r="106">
          <cell r="A106" t="str">
            <v>2-1-01-01-009  PRESTAMO  BCO INTERNACIONAL CP M$600</v>
          </cell>
          <cell r="B106">
            <v>53646608</v>
          </cell>
          <cell r="C106">
            <v>53646608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2-1-01-01-010  USO LINEA CRÉDITO BANCO SANTANDER</v>
          </cell>
          <cell r="B107">
            <v>334906147</v>
          </cell>
          <cell r="C107">
            <v>523101709</v>
          </cell>
          <cell r="D107">
            <v>0</v>
          </cell>
          <cell r="E107">
            <v>188195562</v>
          </cell>
          <cell r="F107">
            <v>0</v>
          </cell>
          <cell r="G107">
            <v>188195562</v>
          </cell>
          <cell r="H107">
            <v>0</v>
          </cell>
          <cell r="I107">
            <v>0</v>
          </cell>
          <cell r="J107">
            <v>188195562</v>
          </cell>
        </row>
        <row r="108">
          <cell r="A108" t="str">
            <v>2-1-01-01-011  USO LINEA CREDITO BANCO BCI</v>
          </cell>
          <cell r="B108">
            <v>83061526</v>
          </cell>
          <cell r="C108">
            <v>64437284</v>
          </cell>
          <cell r="D108">
            <v>18624242</v>
          </cell>
          <cell r="E108">
            <v>0</v>
          </cell>
          <cell r="F108">
            <v>18624242</v>
          </cell>
          <cell r="G108">
            <v>0</v>
          </cell>
          <cell r="H108">
            <v>0</v>
          </cell>
          <cell r="I108">
            <v>0</v>
          </cell>
          <cell r="J108">
            <v>-18624242</v>
          </cell>
        </row>
        <row r="109">
          <cell r="A109" t="str">
            <v>2-1-01-01-013  USO LINEA CREDITO BANCO INTERNACIONAL</v>
          </cell>
          <cell r="B109">
            <v>34391394</v>
          </cell>
          <cell r="C109">
            <v>34391394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>2-1-01-01-014  PRESTAMO  BCO INTERNACIONAL CP M$1.000</v>
          </cell>
          <cell r="B110">
            <v>8398996</v>
          </cell>
          <cell r="C110">
            <v>8398996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2-1-01-02-001  OBLIG. LEASING 1 SUR 1990 C/PLAZO</v>
          </cell>
          <cell r="B111">
            <v>8136840</v>
          </cell>
          <cell r="C111">
            <v>0</v>
          </cell>
          <cell r="D111">
            <v>8136840</v>
          </cell>
          <cell r="E111">
            <v>0</v>
          </cell>
          <cell r="F111">
            <v>8136840</v>
          </cell>
          <cell r="G111">
            <v>0</v>
          </cell>
          <cell r="H111">
            <v>0</v>
          </cell>
          <cell r="I111">
            <v>0</v>
          </cell>
          <cell r="J111">
            <v>-8136840</v>
          </cell>
        </row>
        <row r="112">
          <cell r="A112" t="str">
            <v>2-1-01-02-002  OBLIG. LEASING SAN JAVIER C/PLAZO</v>
          </cell>
          <cell r="B112">
            <v>6996341</v>
          </cell>
          <cell r="C112">
            <v>0</v>
          </cell>
          <cell r="D112">
            <v>6996341</v>
          </cell>
          <cell r="E112">
            <v>0</v>
          </cell>
          <cell r="F112">
            <v>6996341</v>
          </cell>
          <cell r="G112">
            <v>0</v>
          </cell>
          <cell r="H112">
            <v>0</v>
          </cell>
          <cell r="I112">
            <v>0</v>
          </cell>
          <cell r="J112">
            <v>-6996341</v>
          </cell>
        </row>
        <row r="113">
          <cell r="A113" t="str">
            <v>2-1-01-02-003  OBLIG. LEASING COLIN 0240 TALCA</v>
          </cell>
          <cell r="B113">
            <v>13168117</v>
          </cell>
          <cell r="C113">
            <v>0</v>
          </cell>
          <cell r="D113">
            <v>13168117</v>
          </cell>
          <cell r="E113">
            <v>0</v>
          </cell>
          <cell r="F113">
            <v>13168117</v>
          </cell>
          <cell r="G113">
            <v>0</v>
          </cell>
          <cell r="H113">
            <v>0</v>
          </cell>
          <cell r="I113">
            <v>0</v>
          </cell>
          <cell r="J113">
            <v>-13168117</v>
          </cell>
        </row>
        <row r="114">
          <cell r="A114" t="str">
            <v>2-1-01-02-004  OBLIG. LEASING C. SATELITE C/PLAZO</v>
          </cell>
          <cell r="B114">
            <v>19359478</v>
          </cell>
          <cell r="C114">
            <v>0</v>
          </cell>
          <cell r="D114">
            <v>19359478</v>
          </cell>
          <cell r="E114">
            <v>0</v>
          </cell>
          <cell r="F114">
            <v>19359478</v>
          </cell>
          <cell r="G114">
            <v>0</v>
          </cell>
          <cell r="H114">
            <v>0</v>
          </cell>
          <cell r="I114">
            <v>0</v>
          </cell>
          <cell r="J114">
            <v>-19359478</v>
          </cell>
        </row>
        <row r="115">
          <cell r="A115" t="str">
            <v>2-1-01-02-005  OBLIG. LEASING 11 ORIENTE C/PLAZO</v>
          </cell>
          <cell r="B115">
            <v>6611844</v>
          </cell>
          <cell r="C115">
            <v>6079581</v>
          </cell>
          <cell r="D115">
            <v>532263</v>
          </cell>
          <cell r="E115">
            <v>0</v>
          </cell>
          <cell r="F115">
            <v>532263</v>
          </cell>
          <cell r="G115">
            <v>0</v>
          </cell>
          <cell r="H115">
            <v>0</v>
          </cell>
          <cell r="I115">
            <v>0</v>
          </cell>
          <cell r="J115">
            <v>-532263</v>
          </cell>
        </row>
        <row r="116">
          <cell r="A116" t="str">
            <v>2-1-01-02-006  OBLIG. LEASING MAIPU 556 C/PLAZO</v>
          </cell>
          <cell r="B116">
            <v>5851688</v>
          </cell>
          <cell r="C116">
            <v>5380618</v>
          </cell>
          <cell r="D116">
            <v>471070</v>
          </cell>
          <cell r="E116">
            <v>0</v>
          </cell>
          <cell r="F116">
            <v>471070</v>
          </cell>
          <cell r="G116">
            <v>0</v>
          </cell>
          <cell r="H116">
            <v>0</v>
          </cell>
          <cell r="I116">
            <v>0</v>
          </cell>
          <cell r="J116">
            <v>-471070</v>
          </cell>
        </row>
        <row r="117">
          <cell r="A117" t="str">
            <v>2-1-01-02-007  OBLIG. LEASING BRASIL 648 C/PLAZO</v>
          </cell>
          <cell r="B117">
            <v>4486294</v>
          </cell>
          <cell r="C117">
            <v>4125141</v>
          </cell>
          <cell r="D117">
            <v>361153</v>
          </cell>
          <cell r="E117">
            <v>0</v>
          </cell>
          <cell r="F117">
            <v>361153</v>
          </cell>
          <cell r="G117">
            <v>0</v>
          </cell>
          <cell r="H117">
            <v>0</v>
          </cell>
          <cell r="I117">
            <v>0</v>
          </cell>
          <cell r="J117">
            <v>-361153</v>
          </cell>
        </row>
        <row r="118">
          <cell r="A118" t="str">
            <v>2-1-01-02-008  OBLIG. LEASING VIAL 224 C/PLAZO</v>
          </cell>
          <cell r="B118">
            <v>5364047</v>
          </cell>
          <cell r="C118">
            <v>4932234</v>
          </cell>
          <cell r="D118">
            <v>431813</v>
          </cell>
          <cell r="E118">
            <v>0</v>
          </cell>
          <cell r="F118">
            <v>431813</v>
          </cell>
          <cell r="G118">
            <v>0</v>
          </cell>
          <cell r="H118">
            <v>0</v>
          </cell>
          <cell r="I118">
            <v>0</v>
          </cell>
          <cell r="J118">
            <v>-431813</v>
          </cell>
        </row>
        <row r="119">
          <cell r="A119" t="str">
            <v>2-1-01-02-009  OBLIG. LEASING TALCA COLIN C/PLAZO</v>
          </cell>
          <cell r="B119">
            <v>48533762</v>
          </cell>
          <cell r="C119">
            <v>44731888</v>
          </cell>
          <cell r="D119">
            <v>3801874</v>
          </cell>
          <cell r="E119">
            <v>0</v>
          </cell>
          <cell r="F119">
            <v>3801874</v>
          </cell>
          <cell r="G119">
            <v>0</v>
          </cell>
          <cell r="H119">
            <v>0</v>
          </cell>
          <cell r="I119">
            <v>0</v>
          </cell>
          <cell r="J119">
            <v>-3801874</v>
          </cell>
        </row>
        <row r="120">
          <cell r="A120" t="str">
            <v>2-1-01-02-010  OBLIG. HIPOTECARIO C/PLAZO</v>
          </cell>
          <cell r="B120">
            <v>15846196</v>
          </cell>
          <cell r="C120">
            <v>0</v>
          </cell>
          <cell r="D120">
            <v>15846196</v>
          </cell>
          <cell r="E120">
            <v>0</v>
          </cell>
          <cell r="F120">
            <v>15846196</v>
          </cell>
          <cell r="G120">
            <v>0</v>
          </cell>
          <cell r="H120">
            <v>0</v>
          </cell>
          <cell r="I120">
            <v>0</v>
          </cell>
          <cell r="J120">
            <v>-15846196</v>
          </cell>
        </row>
        <row r="121">
          <cell r="A121" t="str">
            <v>2-1-01-02-011  OBLIG.LEASING VALPO  C/P</v>
          </cell>
          <cell r="B121">
            <v>24528131</v>
          </cell>
          <cell r="C121">
            <v>25375033</v>
          </cell>
          <cell r="D121">
            <v>0</v>
          </cell>
          <cell r="E121">
            <v>846902</v>
          </cell>
          <cell r="F121">
            <v>0</v>
          </cell>
          <cell r="G121">
            <v>846902</v>
          </cell>
          <cell r="H121">
            <v>0</v>
          </cell>
          <cell r="I121">
            <v>0</v>
          </cell>
          <cell r="J121">
            <v>846902</v>
          </cell>
        </row>
        <row r="122">
          <cell r="A122" t="str">
            <v>2-1-01-02-012  OBLIG.LEASING CAUQUENES C/P</v>
          </cell>
          <cell r="B122">
            <v>9241672</v>
          </cell>
          <cell r="C122">
            <v>9595152</v>
          </cell>
          <cell r="D122">
            <v>0</v>
          </cell>
          <cell r="E122">
            <v>353480</v>
          </cell>
          <cell r="F122">
            <v>0</v>
          </cell>
          <cell r="G122">
            <v>353480</v>
          </cell>
          <cell r="H122">
            <v>0</v>
          </cell>
          <cell r="I122">
            <v>0</v>
          </cell>
          <cell r="J122">
            <v>353480</v>
          </cell>
        </row>
        <row r="123">
          <cell r="A123" t="str">
            <v>2-1-01-02-013  OBLIG. LEASING OUTLET C/P</v>
          </cell>
          <cell r="B123">
            <v>68165262</v>
          </cell>
          <cell r="C123">
            <v>71822260</v>
          </cell>
          <cell r="D123">
            <v>0</v>
          </cell>
          <cell r="E123">
            <v>3656998</v>
          </cell>
          <cell r="F123">
            <v>0</v>
          </cell>
          <cell r="G123">
            <v>3656998</v>
          </cell>
          <cell r="H123">
            <v>0</v>
          </cell>
          <cell r="I123">
            <v>0</v>
          </cell>
          <cell r="J123">
            <v>3656998</v>
          </cell>
        </row>
        <row r="124">
          <cell r="A124" t="str">
            <v>2-1-01-02-014  OBLIG HIPOTECARIO LOS MORRO CP</v>
          </cell>
          <cell r="B124">
            <v>34848453</v>
          </cell>
          <cell r="C124">
            <v>35894932</v>
          </cell>
          <cell r="D124">
            <v>0</v>
          </cell>
          <cell r="E124">
            <v>1046479</v>
          </cell>
          <cell r="F124">
            <v>0</v>
          </cell>
          <cell r="G124">
            <v>1046479</v>
          </cell>
          <cell r="H124">
            <v>0</v>
          </cell>
          <cell r="I124">
            <v>0</v>
          </cell>
          <cell r="J124">
            <v>1046479</v>
          </cell>
        </row>
        <row r="125">
          <cell r="A125" t="str">
            <v>2-1-01-03-002  OBLIG LEASING VEHICULOS  CP 2</v>
          </cell>
          <cell r="B125">
            <v>3561452</v>
          </cell>
          <cell r="C125">
            <v>754067</v>
          </cell>
          <cell r="D125">
            <v>2807385</v>
          </cell>
          <cell r="E125">
            <v>0</v>
          </cell>
          <cell r="F125">
            <v>2807385</v>
          </cell>
          <cell r="G125">
            <v>0</v>
          </cell>
          <cell r="H125">
            <v>0</v>
          </cell>
          <cell r="I125">
            <v>0</v>
          </cell>
          <cell r="J125">
            <v>-2807385</v>
          </cell>
        </row>
        <row r="126">
          <cell r="A126" t="str">
            <v>2-1-02-01-005  MUTUOS POR PAGAR</v>
          </cell>
          <cell r="B126">
            <v>0</v>
          </cell>
          <cell r="C126">
            <v>9090014</v>
          </cell>
          <cell r="D126">
            <v>0</v>
          </cell>
          <cell r="E126">
            <v>9090014</v>
          </cell>
          <cell r="F126">
            <v>0</v>
          </cell>
          <cell r="G126">
            <v>9090014</v>
          </cell>
          <cell r="H126">
            <v>0</v>
          </cell>
          <cell r="I126">
            <v>0</v>
          </cell>
          <cell r="J126">
            <v>9090014</v>
          </cell>
        </row>
        <row r="127">
          <cell r="A127" t="str">
            <v>2-1-02-01-008  REMUNERACIONES POR PAGAR (2)</v>
          </cell>
          <cell r="B127">
            <v>98632438</v>
          </cell>
          <cell r="C127">
            <v>98632438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</row>
        <row r="128">
          <cell r="A128" t="str">
            <v>2-1-02-01-009  CUENTA POR PAGAR INVERSIONES NUEVA SANTA FIDELMIRA LIMITADA</v>
          </cell>
          <cell r="B128">
            <v>998436</v>
          </cell>
          <cell r="C128">
            <v>36503476</v>
          </cell>
          <cell r="D128">
            <v>0</v>
          </cell>
          <cell r="E128">
            <v>35505040</v>
          </cell>
          <cell r="F128">
            <v>0</v>
          </cell>
          <cell r="G128">
            <v>35505040</v>
          </cell>
          <cell r="H128">
            <v>0</v>
          </cell>
          <cell r="I128">
            <v>0</v>
          </cell>
          <cell r="J128">
            <v>35505040</v>
          </cell>
        </row>
        <row r="129">
          <cell r="A129" t="str">
            <v>2-1-02-01-010  Cuenta por pagar Constructora ERG</v>
          </cell>
          <cell r="B129">
            <v>3391</v>
          </cell>
          <cell r="C129">
            <v>90000</v>
          </cell>
          <cell r="D129">
            <v>0</v>
          </cell>
          <cell r="E129">
            <v>86609</v>
          </cell>
          <cell r="F129">
            <v>0</v>
          </cell>
          <cell r="G129">
            <v>86609</v>
          </cell>
          <cell r="H129">
            <v>0</v>
          </cell>
          <cell r="I129">
            <v>0</v>
          </cell>
          <cell r="J129">
            <v>86609</v>
          </cell>
        </row>
        <row r="130">
          <cell r="A130" t="str">
            <v>2-1-03-01-001  GARANTIAS RECIBIDAS ARRENDATARIOS (CLP)</v>
          </cell>
          <cell r="B130">
            <v>146394</v>
          </cell>
          <cell r="C130">
            <v>0</v>
          </cell>
          <cell r="D130">
            <v>146394</v>
          </cell>
          <cell r="E130">
            <v>0</v>
          </cell>
          <cell r="F130">
            <v>146394</v>
          </cell>
          <cell r="G130">
            <v>0</v>
          </cell>
          <cell r="H130">
            <v>0</v>
          </cell>
          <cell r="I130">
            <v>0</v>
          </cell>
          <cell r="J130">
            <v>-146394</v>
          </cell>
        </row>
        <row r="131">
          <cell r="A131" t="str">
            <v>2-1-03-01-002  GARANTIAS RECIBIDAS ARRENDATARIOS (UF)</v>
          </cell>
          <cell r="B131">
            <v>200762365</v>
          </cell>
          <cell r="C131">
            <v>201151036</v>
          </cell>
          <cell r="D131">
            <v>0</v>
          </cell>
          <cell r="E131">
            <v>388671</v>
          </cell>
          <cell r="F131">
            <v>0</v>
          </cell>
          <cell r="G131">
            <v>388671</v>
          </cell>
          <cell r="H131">
            <v>0</v>
          </cell>
          <cell r="I131">
            <v>0</v>
          </cell>
          <cell r="J131">
            <v>388671</v>
          </cell>
        </row>
        <row r="132">
          <cell r="A132" t="str">
            <v>2-1-03-01-008  CTA X PAGAR ISF DOLAR</v>
          </cell>
          <cell r="B132">
            <v>15998574</v>
          </cell>
          <cell r="C132">
            <v>0</v>
          </cell>
          <cell r="D132">
            <v>15998574</v>
          </cell>
          <cell r="E132">
            <v>0</v>
          </cell>
          <cell r="F132">
            <v>15998574</v>
          </cell>
          <cell r="G132">
            <v>0</v>
          </cell>
          <cell r="H132">
            <v>0</v>
          </cell>
          <cell r="I132">
            <v>0</v>
          </cell>
          <cell r="J132">
            <v>-15998574</v>
          </cell>
        </row>
        <row r="133">
          <cell r="A133" t="str">
            <v>2-1-03-01-009  BOLETA GARANTIAS LOCATARIOS (ORDEN)</v>
          </cell>
          <cell r="B133">
            <v>67423411</v>
          </cell>
          <cell r="C133">
            <v>69258618</v>
          </cell>
          <cell r="D133">
            <v>0</v>
          </cell>
          <cell r="E133">
            <v>1835207</v>
          </cell>
          <cell r="F133">
            <v>0</v>
          </cell>
          <cell r="G133">
            <v>1835207</v>
          </cell>
          <cell r="H133">
            <v>0</v>
          </cell>
          <cell r="I133">
            <v>0</v>
          </cell>
          <cell r="J133">
            <v>1835207</v>
          </cell>
        </row>
        <row r="134">
          <cell r="A134" t="str">
            <v>2-1-03-02-001  ANTICIPO DE CLIENTES</v>
          </cell>
          <cell r="B134">
            <v>165987002</v>
          </cell>
          <cell r="C134">
            <v>165011234</v>
          </cell>
          <cell r="D134">
            <v>975768</v>
          </cell>
          <cell r="E134">
            <v>0</v>
          </cell>
          <cell r="F134">
            <v>975768</v>
          </cell>
          <cell r="G134">
            <v>0</v>
          </cell>
          <cell r="H134">
            <v>0</v>
          </cell>
          <cell r="I134">
            <v>0</v>
          </cell>
          <cell r="J134">
            <v>-975768</v>
          </cell>
        </row>
        <row r="135">
          <cell r="A135" t="str">
            <v>2-1-04-01-001  IVA DEBITO FISCAL</v>
          </cell>
          <cell r="B135">
            <v>165546593</v>
          </cell>
          <cell r="C135">
            <v>165546593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</row>
        <row r="136">
          <cell r="A136" t="str">
            <v>2-1-04-01-002  IMPUESTO UNICO</v>
          </cell>
          <cell r="B136">
            <v>36840949</v>
          </cell>
          <cell r="C136">
            <v>45555101</v>
          </cell>
          <cell r="D136">
            <v>0</v>
          </cell>
          <cell r="E136">
            <v>8714152</v>
          </cell>
          <cell r="F136">
            <v>0</v>
          </cell>
          <cell r="G136">
            <v>8714152</v>
          </cell>
          <cell r="H136">
            <v>0</v>
          </cell>
          <cell r="I136">
            <v>0</v>
          </cell>
          <cell r="J136">
            <v>8714152</v>
          </cell>
        </row>
        <row r="137">
          <cell r="A137" t="str">
            <v>2-1-04-01-003  IMPUESTO 2° CATEGORIA</v>
          </cell>
          <cell r="B137">
            <v>1617419</v>
          </cell>
          <cell r="C137">
            <v>1625749</v>
          </cell>
          <cell r="D137">
            <v>0</v>
          </cell>
          <cell r="E137">
            <v>8330</v>
          </cell>
          <cell r="F137">
            <v>0</v>
          </cell>
          <cell r="G137">
            <v>8330</v>
          </cell>
          <cell r="H137">
            <v>0</v>
          </cell>
          <cell r="I137">
            <v>0</v>
          </cell>
          <cell r="J137">
            <v>8330</v>
          </cell>
        </row>
        <row r="138">
          <cell r="A138" t="str">
            <v>2-1-04-01-004  IMPUESTOS POR PAGAR</v>
          </cell>
          <cell r="B138">
            <v>0</v>
          </cell>
          <cell r="C138">
            <v>55014467</v>
          </cell>
          <cell r="D138">
            <v>0</v>
          </cell>
          <cell r="E138">
            <v>55014467</v>
          </cell>
          <cell r="F138">
            <v>0</v>
          </cell>
          <cell r="G138">
            <v>55014467</v>
          </cell>
          <cell r="H138">
            <v>0</v>
          </cell>
          <cell r="I138">
            <v>0</v>
          </cell>
          <cell r="J138">
            <v>55014467</v>
          </cell>
        </row>
        <row r="139">
          <cell r="A139" t="str">
            <v>2-1-04-01-005  IMPOSICIONES POR PAGAR</v>
          </cell>
          <cell r="B139">
            <v>11814756</v>
          </cell>
          <cell r="C139">
            <v>13675627</v>
          </cell>
          <cell r="D139">
            <v>0</v>
          </cell>
          <cell r="E139">
            <v>1860871</v>
          </cell>
          <cell r="F139">
            <v>0</v>
          </cell>
          <cell r="G139">
            <v>1860871</v>
          </cell>
          <cell r="H139">
            <v>0</v>
          </cell>
          <cell r="I139">
            <v>0</v>
          </cell>
          <cell r="J139">
            <v>1860871</v>
          </cell>
        </row>
        <row r="140">
          <cell r="A140" t="str">
            <v>2-1-06-01-001  PROVEEDORES 2</v>
          </cell>
          <cell r="B140">
            <v>1293894762</v>
          </cell>
          <cell r="C140">
            <v>1115057181</v>
          </cell>
          <cell r="D140">
            <v>178837581</v>
          </cell>
          <cell r="E140">
            <v>0</v>
          </cell>
          <cell r="F140">
            <v>178837581</v>
          </cell>
          <cell r="G140">
            <v>0</v>
          </cell>
          <cell r="H140">
            <v>0</v>
          </cell>
          <cell r="I140">
            <v>0</v>
          </cell>
          <cell r="J140">
            <v>-178837581</v>
          </cell>
        </row>
        <row r="141">
          <cell r="A141" t="str">
            <v>2-1-06-01-002  HONORARIOS POR PAGAR 2</v>
          </cell>
          <cell r="B141">
            <v>9406978</v>
          </cell>
          <cell r="C141">
            <v>10024926</v>
          </cell>
          <cell r="D141">
            <v>0</v>
          </cell>
          <cell r="E141">
            <v>617948</v>
          </cell>
          <cell r="F141">
            <v>0</v>
          </cell>
          <cell r="G141">
            <v>617948</v>
          </cell>
          <cell r="H141">
            <v>0</v>
          </cell>
          <cell r="I141">
            <v>0</v>
          </cell>
          <cell r="J141">
            <v>617948</v>
          </cell>
        </row>
        <row r="142">
          <cell r="A142" t="str">
            <v>2-1-06-01-006  CHEQUES GIRADOS POR PAGAR 2</v>
          </cell>
          <cell r="B142">
            <v>452156964</v>
          </cell>
          <cell r="C142">
            <v>451318716</v>
          </cell>
          <cell r="D142">
            <v>838248</v>
          </cell>
          <cell r="E142">
            <v>0</v>
          </cell>
          <cell r="F142">
            <v>838248</v>
          </cell>
          <cell r="G142">
            <v>0</v>
          </cell>
          <cell r="H142">
            <v>0</v>
          </cell>
          <cell r="I142">
            <v>0</v>
          </cell>
          <cell r="J142">
            <v>-838248</v>
          </cell>
        </row>
        <row r="143">
          <cell r="A143" t="str">
            <v>2-1-06-01-007  SEGURO SALUD COMPLEMENTARIO</v>
          </cell>
          <cell r="B143">
            <v>296140</v>
          </cell>
          <cell r="C143">
            <v>296140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A144" t="str">
            <v>2-2-01-01-004  PRESTAMO  BCO INTERNACIONAL LP M$600</v>
          </cell>
          <cell r="B144">
            <v>59193336</v>
          </cell>
          <cell r="C144">
            <v>0</v>
          </cell>
          <cell r="D144">
            <v>59193336</v>
          </cell>
          <cell r="E144">
            <v>0</v>
          </cell>
          <cell r="F144">
            <v>59193336</v>
          </cell>
          <cell r="G144">
            <v>0</v>
          </cell>
          <cell r="H144">
            <v>0</v>
          </cell>
          <cell r="I144">
            <v>0</v>
          </cell>
          <cell r="J144">
            <v>-59193336</v>
          </cell>
        </row>
        <row r="145">
          <cell r="A145" t="str">
            <v>2-2-01-01-005  PRESTAMO  BCO INTERNACIONAL LP M$1.000</v>
          </cell>
          <cell r="B145">
            <v>15312329</v>
          </cell>
          <cell r="C145">
            <v>0</v>
          </cell>
          <cell r="D145">
            <v>15312329</v>
          </cell>
          <cell r="E145">
            <v>0</v>
          </cell>
          <cell r="F145">
            <v>15312329</v>
          </cell>
          <cell r="G145">
            <v>0</v>
          </cell>
          <cell r="H145">
            <v>0</v>
          </cell>
          <cell r="I145">
            <v>0</v>
          </cell>
          <cell r="J145">
            <v>-15312329</v>
          </cell>
        </row>
        <row r="146">
          <cell r="A146" t="str">
            <v>2-2-01-02-005  OBLIG. LEASING 11 ORIENTE 1550 L/PLAZO</v>
          </cell>
          <cell r="B146">
            <v>6823928</v>
          </cell>
          <cell r="C146">
            <v>0</v>
          </cell>
          <cell r="D146">
            <v>6823928</v>
          </cell>
          <cell r="E146">
            <v>0</v>
          </cell>
          <cell r="F146">
            <v>6823928</v>
          </cell>
          <cell r="G146">
            <v>0</v>
          </cell>
          <cell r="H146">
            <v>0</v>
          </cell>
          <cell r="I146">
            <v>0</v>
          </cell>
          <cell r="J146">
            <v>-6823928</v>
          </cell>
        </row>
        <row r="147">
          <cell r="A147" t="str">
            <v>2-2-01-02-006  OBLIG. LEASING MAIPU 556 L/PLAZO</v>
          </cell>
          <cell r="B147">
            <v>6039388</v>
          </cell>
          <cell r="C147">
            <v>0</v>
          </cell>
          <cell r="D147">
            <v>6039388</v>
          </cell>
          <cell r="E147">
            <v>0</v>
          </cell>
          <cell r="F147">
            <v>6039388</v>
          </cell>
          <cell r="G147">
            <v>0</v>
          </cell>
          <cell r="H147">
            <v>0</v>
          </cell>
          <cell r="I147">
            <v>0</v>
          </cell>
          <cell r="J147">
            <v>-6039388</v>
          </cell>
        </row>
        <row r="148">
          <cell r="A148" t="str">
            <v>2-2-01-02-007  OBLIG. LEASING BRASIL 648 L/PLAZO</v>
          </cell>
          <cell r="B148">
            <v>4630198</v>
          </cell>
          <cell r="C148">
            <v>0</v>
          </cell>
          <cell r="D148">
            <v>4630198</v>
          </cell>
          <cell r="E148">
            <v>0</v>
          </cell>
          <cell r="F148">
            <v>4630198</v>
          </cell>
          <cell r="G148">
            <v>0</v>
          </cell>
          <cell r="H148">
            <v>0</v>
          </cell>
          <cell r="I148">
            <v>0</v>
          </cell>
          <cell r="J148">
            <v>-4630198</v>
          </cell>
        </row>
        <row r="149">
          <cell r="A149" t="str">
            <v>2-2-01-02-008  OBLIG. LEASING VIAL 224 L/PLAZO</v>
          </cell>
          <cell r="B149">
            <v>5536106</v>
          </cell>
          <cell r="C149">
            <v>0</v>
          </cell>
          <cell r="D149">
            <v>5536106</v>
          </cell>
          <cell r="E149">
            <v>0</v>
          </cell>
          <cell r="F149">
            <v>5536106</v>
          </cell>
          <cell r="G149">
            <v>0</v>
          </cell>
          <cell r="H149">
            <v>0</v>
          </cell>
          <cell r="I149">
            <v>0</v>
          </cell>
          <cell r="J149">
            <v>-5536106</v>
          </cell>
        </row>
        <row r="150">
          <cell r="A150" t="str">
            <v>2-2-01-02-009  OBLIG. LEASING TALCA COLIN L/PLAZO</v>
          </cell>
          <cell r="B150">
            <v>53843903</v>
          </cell>
          <cell r="C150">
            <v>0</v>
          </cell>
          <cell r="D150">
            <v>53843903</v>
          </cell>
          <cell r="E150">
            <v>0</v>
          </cell>
          <cell r="F150">
            <v>53843903</v>
          </cell>
          <cell r="G150">
            <v>0</v>
          </cell>
          <cell r="H150">
            <v>0</v>
          </cell>
          <cell r="I150">
            <v>0</v>
          </cell>
          <cell r="J150">
            <v>-53843903</v>
          </cell>
        </row>
        <row r="151">
          <cell r="A151" t="str">
            <v>2-2-01-02-010  OBLIG.LEASING  VALPO L/P</v>
          </cell>
          <cell r="B151">
            <v>21413123</v>
          </cell>
          <cell r="C151">
            <v>0</v>
          </cell>
          <cell r="D151">
            <v>21413123</v>
          </cell>
          <cell r="E151">
            <v>0</v>
          </cell>
          <cell r="F151">
            <v>21413123</v>
          </cell>
          <cell r="G151">
            <v>0</v>
          </cell>
          <cell r="H151">
            <v>0</v>
          </cell>
          <cell r="I151">
            <v>0</v>
          </cell>
          <cell r="J151">
            <v>-21413123</v>
          </cell>
        </row>
        <row r="152">
          <cell r="A152" t="str">
            <v>2-2-01-02-011  OBLIG.LEASING CAUQUENES  L/P</v>
          </cell>
          <cell r="B152">
            <v>9039536</v>
          </cell>
          <cell r="C152">
            <v>0</v>
          </cell>
          <cell r="D152">
            <v>9039536</v>
          </cell>
          <cell r="E152">
            <v>0</v>
          </cell>
          <cell r="F152">
            <v>9039536</v>
          </cell>
          <cell r="G152">
            <v>0</v>
          </cell>
          <cell r="H152">
            <v>0</v>
          </cell>
          <cell r="I152">
            <v>0</v>
          </cell>
          <cell r="J152">
            <v>-9039536</v>
          </cell>
        </row>
        <row r="153">
          <cell r="A153" t="str">
            <v>2-2-01-02-012  OBLIGAC. LEASING OUTLET L/P</v>
          </cell>
          <cell r="B153">
            <v>64122055</v>
          </cell>
          <cell r="C153">
            <v>0</v>
          </cell>
          <cell r="D153">
            <v>64122055</v>
          </cell>
          <cell r="E153">
            <v>0</v>
          </cell>
          <cell r="F153">
            <v>64122055</v>
          </cell>
          <cell r="G153">
            <v>0</v>
          </cell>
          <cell r="H153">
            <v>0</v>
          </cell>
          <cell r="I153">
            <v>0</v>
          </cell>
          <cell r="J153">
            <v>-64122055</v>
          </cell>
        </row>
        <row r="154">
          <cell r="A154" t="str">
            <v>2-2-01-02-013  OBLIG LEASING VEHICULOS LP</v>
          </cell>
          <cell r="B154">
            <v>706576</v>
          </cell>
          <cell r="C154">
            <v>0</v>
          </cell>
          <cell r="D154">
            <v>706576</v>
          </cell>
          <cell r="E154">
            <v>0</v>
          </cell>
          <cell r="F154">
            <v>706576</v>
          </cell>
          <cell r="G154">
            <v>0</v>
          </cell>
          <cell r="H154">
            <v>0</v>
          </cell>
          <cell r="I154">
            <v>0</v>
          </cell>
          <cell r="J154">
            <v>-706576</v>
          </cell>
        </row>
        <row r="155">
          <cell r="A155" t="str">
            <v>2-2-01-02-014  OBLIG HIPOTECARIO LOS MORRO LP</v>
          </cell>
          <cell r="B155">
            <v>20661477</v>
          </cell>
          <cell r="C155">
            <v>0</v>
          </cell>
          <cell r="D155">
            <v>20661477</v>
          </cell>
          <cell r="E155">
            <v>0</v>
          </cell>
          <cell r="F155">
            <v>20661477</v>
          </cell>
          <cell r="G155">
            <v>0</v>
          </cell>
          <cell r="H155">
            <v>0</v>
          </cell>
          <cell r="I155">
            <v>0</v>
          </cell>
          <cell r="J155">
            <v>-20661477</v>
          </cell>
        </row>
        <row r="156">
          <cell r="A156" t="str">
            <v>3-2-01-01-002  RESULTADOS ACUMULADOS</v>
          </cell>
          <cell r="B156">
            <v>201425958</v>
          </cell>
          <cell r="C156">
            <v>200628385</v>
          </cell>
          <cell r="D156">
            <v>797573</v>
          </cell>
          <cell r="E156">
            <v>0</v>
          </cell>
          <cell r="F156">
            <v>797573</v>
          </cell>
          <cell r="G156">
            <v>0</v>
          </cell>
          <cell r="H156">
            <v>0</v>
          </cell>
          <cell r="I156">
            <v>0</v>
          </cell>
          <cell r="J156">
            <v>-797573</v>
          </cell>
        </row>
        <row r="157">
          <cell r="A157" t="str">
            <v>4-1-01-01-001  ARRIENDO FIJO</v>
          </cell>
          <cell r="B157">
            <v>3244733</v>
          </cell>
          <cell r="C157">
            <v>811350154</v>
          </cell>
          <cell r="D157">
            <v>0</v>
          </cell>
          <cell r="E157">
            <v>808105421</v>
          </cell>
          <cell r="F157">
            <v>0</v>
          </cell>
          <cell r="G157">
            <v>0</v>
          </cell>
          <cell r="H157">
            <v>0</v>
          </cell>
          <cell r="I157">
            <v>808105421</v>
          </cell>
          <cell r="J157">
            <v>808105421</v>
          </cell>
        </row>
        <row r="158">
          <cell r="A158" t="str">
            <v>4-1-01-01-002  ARRIENDO VARIABLE</v>
          </cell>
          <cell r="B158">
            <v>126539120</v>
          </cell>
          <cell r="C158">
            <v>237993241</v>
          </cell>
          <cell r="D158">
            <v>0</v>
          </cell>
          <cell r="E158">
            <v>111454121</v>
          </cell>
          <cell r="F158">
            <v>0</v>
          </cell>
          <cell r="G158">
            <v>0</v>
          </cell>
          <cell r="H158">
            <v>0</v>
          </cell>
          <cell r="I158">
            <v>111454121</v>
          </cell>
          <cell r="J158">
            <v>111454121</v>
          </cell>
        </row>
        <row r="159">
          <cell r="A159" t="str">
            <v>4-1-01-01-005  CONSUMOS DE AGUAS</v>
          </cell>
          <cell r="B159">
            <v>98678</v>
          </cell>
          <cell r="C159">
            <v>10187640</v>
          </cell>
          <cell r="D159">
            <v>0</v>
          </cell>
          <cell r="E159">
            <v>10088962</v>
          </cell>
          <cell r="F159">
            <v>0</v>
          </cell>
          <cell r="G159">
            <v>0</v>
          </cell>
          <cell r="H159">
            <v>0</v>
          </cell>
          <cell r="I159">
            <v>10088962</v>
          </cell>
          <cell r="J159">
            <v>10088962</v>
          </cell>
        </row>
        <row r="160">
          <cell r="A160" t="str">
            <v>4-1-01-01-006  CONSUMOS DE LUZ</v>
          </cell>
          <cell r="B160">
            <v>20894605</v>
          </cell>
          <cell r="C160">
            <v>128804303</v>
          </cell>
          <cell r="D160">
            <v>0</v>
          </cell>
          <cell r="E160">
            <v>107909698</v>
          </cell>
          <cell r="F160">
            <v>0</v>
          </cell>
          <cell r="G160">
            <v>0</v>
          </cell>
          <cell r="H160">
            <v>0</v>
          </cell>
          <cell r="I160">
            <v>107909698</v>
          </cell>
          <cell r="J160">
            <v>107909698</v>
          </cell>
        </row>
        <row r="161">
          <cell r="A161" t="str">
            <v>4-1-01-01-007  CONSUMOS DE GAS</v>
          </cell>
          <cell r="B161">
            <v>0</v>
          </cell>
          <cell r="C161">
            <v>2377958</v>
          </cell>
          <cell r="D161">
            <v>0</v>
          </cell>
          <cell r="E161">
            <v>2377958</v>
          </cell>
          <cell r="F161">
            <v>0</v>
          </cell>
          <cell r="G161">
            <v>0</v>
          </cell>
          <cell r="H161">
            <v>0</v>
          </cell>
          <cell r="I161">
            <v>2377958</v>
          </cell>
          <cell r="J161">
            <v>2377958</v>
          </cell>
        </row>
        <row r="162">
          <cell r="A162" t="str">
            <v>4-1-01-01-008  GASTOS COMUNES</v>
          </cell>
          <cell r="B162">
            <v>83367784</v>
          </cell>
          <cell r="C162">
            <v>163933421</v>
          </cell>
          <cell r="D162">
            <v>0</v>
          </cell>
          <cell r="E162">
            <v>80565637</v>
          </cell>
          <cell r="F162">
            <v>0</v>
          </cell>
          <cell r="G162">
            <v>0</v>
          </cell>
          <cell r="H162">
            <v>0</v>
          </cell>
          <cell r="I162">
            <v>80565637</v>
          </cell>
          <cell r="J162">
            <v>80565637</v>
          </cell>
        </row>
        <row r="163">
          <cell r="A163" t="str">
            <v>4-1-01-01-011  DEVOLUCION DE CONTRIBUCIONES</v>
          </cell>
          <cell r="B163">
            <v>0</v>
          </cell>
          <cell r="C163">
            <v>11747740</v>
          </cell>
          <cell r="D163">
            <v>0</v>
          </cell>
          <cell r="E163">
            <v>11747740</v>
          </cell>
          <cell r="F163">
            <v>0</v>
          </cell>
          <cell r="G163">
            <v>0</v>
          </cell>
          <cell r="H163">
            <v>0</v>
          </cell>
          <cell r="I163">
            <v>11747740</v>
          </cell>
          <cell r="J163">
            <v>11747740</v>
          </cell>
        </row>
        <row r="164">
          <cell r="A164" t="str">
            <v>4-1-01-01-013  VARIOS</v>
          </cell>
          <cell r="B164">
            <v>3426</v>
          </cell>
          <cell r="C164">
            <v>48067</v>
          </cell>
          <cell r="D164">
            <v>0</v>
          </cell>
          <cell r="E164">
            <v>44641</v>
          </cell>
          <cell r="F164">
            <v>0</v>
          </cell>
          <cell r="G164">
            <v>0</v>
          </cell>
          <cell r="H164">
            <v>0</v>
          </cell>
          <cell r="I164">
            <v>44641</v>
          </cell>
          <cell r="J164">
            <v>44641</v>
          </cell>
        </row>
        <row r="165">
          <cell r="A165" t="str">
            <v>4-1-01-01-015  INGRESO VARIABLE FONDO PROMOCIÓN</v>
          </cell>
          <cell r="B165">
            <v>7752348</v>
          </cell>
          <cell r="C165">
            <v>8989635</v>
          </cell>
          <cell r="D165">
            <v>0</v>
          </cell>
          <cell r="E165">
            <v>1237287</v>
          </cell>
          <cell r="F165">
            <v>0</v>
          </cell>
          <cell r="G165">
            <v>0</v>
          </cell>
          <cell r="H165">
            <v>0</v>
          </cell>
          <cell r="I165">
            <v>1237287</v>
          </cell>
          <cell r="J165">
            <v>1237287</v>
          </cell>
        </row>
        <row r="166">
          <cell r="A166" t="str">
            <v>4-2-01-01-003  DIVIDENDOS RIACHUELO</v>
          </cell>
          <cell r="B166">
            <v>0</v>
          </cell>
          <cell r="C166">
            <v>7500000</v>
          </cell>
          <cell r="D166">
            <v>0</v>
          </cell>
          <cell r="E166">
            <v>7500000</v>
          </cell>
          <cell r="F166">
            <v>0</v>
          </cell>
          <cell r="G166">
            <v>0</v>
          </cell>
          <cell r="H166">
            <v>0</v>
          </cell>
          <cell r="I166">
            <v>7500000</v>
          </cell>
          <cell r="J166">
            <v>7500000</v>
          </cell>
        </row>
        <row r="167">
          <cell r="A167" t="str">
            <v>4-2-01-01-004  INTERESES DAP</v>
          </cell>
          <cell r="B167">
            <v>0</v>
          </cell>
          <cell r="C167">
            <v>4335330</v>
          </cell>
          <cell r="D167">
            <v>0</v>
          </cell>
          <cell r="E167">
            <v>4335330</v>
          </cell>
          <cell r="F167">
            <v>0</v>
          </cell>
          <cell r="G167">
            <v>0</v>
          </cell>
          <cell r="H167">
            <v>0</v>
          </cell>
          <cell r="I167">
            <v>4335330</v>
          </cell>
          <cell r="J167">
            <v>4335330</v>
          </cell>
        </row>
        <row r="168">
          <cell r="A168" t="str">
            <v>4-2-01-01-005  INTERESES DE PAGARE</v>
          </cell>
          <cell r="B168">
            <v>0</v>
          </cell>
          <cell r="C168">
            <v>6395443</v>
          </cell>
          <cell r="D168">
            <v>0</v>
          </cell>
          <cell r="E168">
            <v>6395443</v>
          </cell>
          <cell r="F168">
            <v>0</v>
          </cell>
          <cell r="G168">
            <v>0</v>
          </cell>
          <cell r="H168">
            <v>0</v>
          </cell>
          <cell r="I168">
            <v>6395443</v>
          </cell>
          <cell r="J168">
            <v>6395443</v>
          </cell>
        </row>
        <row r="169">
          <cell r="A169" t="str">
            <v>4-2-01-01-006  INTERESES DAP US$ BCI</v>
          </cell>
          <cell r="B169">
            <v>0</v>
          </cell>
          <cell r="C169">
            <v>796647</v>
          </cell>
          <cell r="D169">
            <v>0</v>
          </cell>
          <cell r="E169">
            <v>796647</v>
          </cell>
          <cell r="F169">
            <v>0</v>
          </cell>
          <cell r="G169">
            <v>0</v>
          </cell>
          <cell r="H169">
            <v>0</v>
          </cell>
          <cell r="I169">
            <v>796647</v>
          </cell>
          <cell r="J169">
            <v>796647</v>
          </cell>
        </row>
        <row r="170">
          <cell r="A170" t="str">
            <v>4-2-01-02-008  ARQUITEC Y HABILITACION  LOCALES</v>
          </cell>
          <cell r="B170">
            <v>10877633</v>
          </cell>
          <cell r="C170">
            <v>1578683</v>
          </cell>
          <cell r="D170">
            <v>9298950</v>
          </cell>
          <cell r="E170">
            <v>0</v>
          </cell>
          <cell r="F170">
            <v>0</v>
          </cell>
          <cell r="G170">
            <v>0</v>
          </cell>
          <cell r="H170">
            <v>9298950</v>
          </cell>
          <cell r="I170">
            <v>0</v>
          </cell>
          <cell r="J170">
            <v>-9298950</v>
          </cell>
        </row>
        <row r="171">
          <cell r="A171" t="str">
            <v>5-1-01-01-001  SERVICIOS DE GUARDIAS</v>
          </cell>
          <cell r="B171">
            <v>65205096</v>
          </cell>
          <cell r="C171">
            <v>0</v>
          </cell>
          <cell r="D171">
            <v>65205096</v>
          </cell>
          <cell r="E171">
            <v>0</v>
          </cell>
          <cell r="F171">
            <v>0</v>
          </cell>
          <cell r="G171">
            <v>0</v>
          </cell>
          <cell r="H171">
            <v>65205096</v>
          </cell>
          <cell r="I171">
            <v>0</v>
          </cell>
          <cell r="J171">
            <v>-65205096</v>
          </cell>
        </row>
        <row r="172">
          <cell r="A172" t="str">
            <v>5-1-01-01-002  MANTENCION EXTINTORES</v>
          </cell>
          <cell r="B172">
            <v>349261</v>
          </cell>
          <cell r="C172">
            <v>58424</v>
          </cell>
          <cell r="D172">
            <v>290837</v>
          </cell>
          <cell r="E172">
            <v>0</v>
          </cell>
          <cell r="F172">
            <v>0</v>
          </cell>
          <cell r="G172">
            <v>0</v>
          </cell>
          <cell r="H172">
            <v>290837</v>
          </cell>
          <cell r="I172">
            <v>0</v>
          </cell>
          <cell r="J172">
            <v>-290837</v>
          </cell>
        </row>
        <row r="173">
          <cell r="A173" t="str">
            <v>5-1-01-01-005  ARTICULOS DE SEGURIDAD</v>
          </cell>
          <cell r="B173">
            <v>210000</v>
          </cell>
          <cell r="C173">
            <v>0</v>
          </cell>
          <cell r="D173">
            <v>210000</v>
          </cell>
          <cell r="E173">
            <v>0</v>
          </cell>
          <cell r="F173">
            <v>0</v>
          </cell>
          <cell r="G173">
            <v>0</v>
          </cell>
          <cell r="H173">
            <v>210000</v>
          </cell>
          <cell r="I173">
            <v>0</v>
          </cell>
          <cell r="J173">
            <v>-210000</v>
          </cell>
        </row>
        <row r="174">
          <cell r="A174" t="str">
            <v>5-1-01-02-002  INSUMOS BANOS</v>
          </cell>
          <cell r="B174">
            <v>1127931</v>
          </cell>
          <cell r="C174">
            <v>0</v>
          </cell>
          <cell r="D174">
            <v>1127931</v>
          </cell>
          <cell r="E174">
            <v>0</v>
          </cell>
          <cell r="F174">
            <v>0</v>
          </cell>
          <cell r="G174">
            <v>0</v>
          </cell>
          <cell r="H174">
            <v>1127931</v>
          </cell>
          <cell r="I174">
            <v>0</v>
          </cell>
          <cell r="J174">
            <v>-1127931</v>
          </cell>
        </row>
        <row r="175">
          <cell r="A175" t="str">
            <v>5-1-01-02-003  RETIRO BASURA O ESCOMBROS</v>
          </cell>
          <cell r="B175">
            <v>1605984</v>
          </cell>
          <cell r="C175">
            <v>0</v>
          </cell>
          <cell r="D175">
            <v>1605984</v>
          </cell>
          <cell r="E175">
            <v>0</v>
          </cell>
          <cell r="F175">
            <v>0</v>
          </cell>
          <cell r="G175">
            <v>0</v>
          </cell>
          <cell r="H175">
            <v>1605984</v>
          </cell>
          <cell r="I175">
            <v>0</v>
          </cell>
          <cell r="J175">
            <v>-1605984</v>
          </cell>
        </row>
        <row r="176">
          <cell r="A176" t="str">
            <v>5-1-01-03-001  SERVICIOS DE JARDINES Y PAISAJISMO</v>
          </cell>
          <cell r="B176">
            <v>1932480</v>
          </cell>
          <cell r="C176">
            <v>126050</v>
          </cell>
          <cell r="D176">
            <v>1806430</v>
          </cell>
          <cell r="E176">
            <v>0</v>
          </cell>
          <cell r="F176">
            <v>0</v>
          </cell>
          <cell r="G176">
            <v>0</v>
          </cell>
          <cell r="H176">
            <v>1806430</v>
          </cell>
          <cell r="I176">
            <v>0</v>
          </cell>
          <cell r="J176">
            <v>-1806430</v>
          </cell>
        </row>
        <row r="177">
          <cell r="A177" t="str">
            <v>5-1-01-03-003  CONTROL DE PLAGAS</v>
          </cell>
          <cell r="B177">
            <v>1519363</v>
          </cell>
          <cell r="C177">
            <v>0</v>
          </cell>
          <cell r="D177">
            <v>1519363</v>
          </cell>
          <cell r="E177">
            <v>0</v>
          </cell>
          <cell r="F177">
            <v>0</v>
          </cell>
          <cell r="G177">
            <v>0</v>
          </cell>
          <cell r="H177">
            <v>1519363</v>
          </cell>
          <cell r="I177">
            <v>0</v>
          </cell>
          <cell r="J177">
            <v>-1519363</v>
          </cell>
        </row>
        <row r="178">
          <cell r="A178" t="str">
            <v>5-1-01-04-001  MANTENCION TRANSPORTE VERTICAL</v>
          </cell>
          <cell r="B178">
            <v>4285279</v>
          </cell>
          <cell r="C178">
            <v>0</v>
          </cell>
          <cell r="D178">
            <v>4285279</v>
          </cell>
          <cell r="E178">
            <v>0</v>
          </cell>
          <cell r="F178">
            <v>0</v>
          </cell>
          <cell r="G178">
            <v>0</v>
          </cell>
          <cell r="H178">
            <v>4285279</v>
          </cell>
          <cell r="I178">
            <v>0</v>
          </cell>
          <cell r="J178">
            <v>-4285279</v>
          </cell>
        </row>
        <row r="179">
          <cell r="A179" t="str">
            <v>5-1-01-04-007  MANTENCION CCTV</v>
          </cell>
          <cell r="B179">
            <v>2963552</v>
          </cell>
          <cell r="C179">
            <v>0</v>
          </cell>
          <cell r="D179">
            <v>2963552</v>
          </cell>
          <cell r="E179">
            <v>0</v>
          </cell>
          <cell r="F179">
            <v>0</v>
          </cell>
          <cell r="G179">
            <v>0</v>
          </cell>
          <cell r="H179">
            <v>2963552</v>
          </cell>
          <cell r="I179">
            <v>0</v>
          </cell>
          <cell r="J179">
            <v>-2963552</v>
          </cell>
        </row>
        <row r="180">
          <cell r="A180" t="str">
            <v>5-1-01-04-010  MANTENCION ALCANTARILLADOS</v>
          </cell>
          <cell r="B180">
            <v>59228</v>
          </cell>
          <cell r="C180">
            <v>0</v>
          </cell>
          <cell r="D180">
            <v>59228</v>
          </cell>
          <cell r="E180">
            <v>0</v>
          </cell>
          <cell r="F180">
            <v>0</v>
          </cell>
          <cell r="G180">
            <v>0</v>
          </cell>
          <cell r="H180">
            <v>59228</v>
          </cell>
          <cell r="I180">
            <v>0</v>
          </cell>
          <cell r="J180">
            <v>-59228</v>
          </cell>
        </row>
        <row r="181">
          <cell r="A181" t="str">
            <v>5-1-01-04-011  MANTENCION GENERAL</v>
          </cell>
          <cell r="B181">
            <v>20949066</v>
          </cell>
          <cell r="C181">
            <v>0</v>
          </cell>
          <cell r="D181">
            <v>20949066</v>
          </cell>
          <cell r="E181">
            <v>0</v>
          </cell>
          <cell r="F181">
            <v>0</v>
          </cell>
          <cell r="G181">
            <v>0</v>
          </cell>
          <cell r="H181">
            <v>20949066</v>
          </cell>
          <cell r="I181">
            <v>0</v>
          </cell>
          <cell r="J181">
            <v>-20949066</v>
          </cell>
        </row>
        <row r="182">
          <cell r="A182" t="str">
            <v>5-1-01-04-014  MANTENCION VEHICULOS</v>
          </cell>
          <cell r="B182">
            <v>827731</v>
          </cell>
          <cell r="C182">
            <v>0</v>
          </cell>
          <cell r="D182">
            <v>827731</v>
          </cell>
          <cell r="E182">
            <v>0</v>
          </cell>
          <cell r="F182">
            <v>0</v>
          </cell>
          <cell r="G182">
            <v>0</v>
          </cell>
          <cell r="H182">
            <v>827731</v>
          </cell>
          <cell r="I182">
            <v>0</v>
          </cell>
          <cell r="J182">
            <v>-827731</v>
          </cell>
        </row>
        <row r="183">
          <cell r="A183" t="str">
            <v>5-1-01-05-006  COMPRAS PETROLEO GAS BENCINA</v>
          </cell>
          <cell r="B183">
            <v>1537246</v>
          </cell>
          <cell r="C183">
            <v>0</v>
          </cell>
          <cell r="D183">
            <v>1537246</v>
          </cell>
          <cell r="E183">
            <v>0</v>
          </cell>
          <cell r="F183">
            <v>0</v>
          </cell>
          <cell r="G183">
            <v>0</v>
          </cell>
          <cell r="H183">
            <v>1537246</v>
          </cell>
          <cell r="I183">
            <v>0</v>
          </cell>
          <cell r="J183">
            <v>-1537246</v>
          </cell>
        </row>
        <row r="184">
          <cell r="A184" t="str">
            <v>5-1-01-06-001  CONSUMO AGUA COMUN</v>
          </cell>
          <cell r="B184">
            <v>7373884</v>
          </cell>
          <cell r="C184">
            <v>882265</v>
          </cell>
          <cell r="D184">
            <v>6491619</v>
          </cell>
          <cell r="E184">
            <v>0</v>
          </cell>
          <cell r="F184">
            <v>0</v>
          </cell>
          <cell r="G184">
            <v>0</v>
          </cell>
          <cell r="H184">
            <v>6491619</v>
          </cell>
          <cell r="I184">
            <v>0</v>
          </cell>
          <cell r="J184">
            <v>-6491619</v>
          </cell>
        </row>
        <row r="185">
          <cell r="A185" t="str">
            <v>5-1-01-06-002  CONSUMO ENERGIA COMUN</v>
          </cell>
          <cell r="B185">
            <v>118316545</v>
          </cell>
          <cell r="C185">
            <v>290</v>
          </cell>
          <cell r="D185">
            <v>118316255</v>
          </cell>
          <cell r="E185">
            <v>0</v>
          </cell>
          <cell r="F185">
            <v>0</v>
          </cell>
          <cell r="G185">
            <v>0</v>
          </cell>
          <cell r="H185">
            <v>118316255</v>
          </cell>
          <cell r="I185">
            <v>0</v>
          </cell>
          <cell r="J185">
            <v>-118316255</v>
          </cell>
        </row>
        <row r="186">
          <cell r="A186" t="str">
            <v>5-1-01-06-003  GASTO COMUN PROPIO</v>
          </cell>
          <cell r="B186">
            <v>398643</v>
          </cell>
          <cell r="C186">
            <v>0</v>
          </cell>
          <cell r="D186">
            <v>398643</v>
          </cell>
          <cell r="E186">
            <v>0</v>
          </cell>
          <cell r="F186">
            <v>0</v>
          </cell>
          <cell r="G186">
            <v>0</v>
          </cell>
          <cell r="H186">
            <v>398643</v>
          </cell>
          <cell r="I186">
            <v>0</v>
          </cell>
          <cell r="J186">
            <v>-398643</v>
          </cell>
        </row>
        <row r="187">
          <cell r="A187" t="str">
            <v>5-1-01-06-004  SERVICIOS INFORMATICOS DE SISTEMAS</v>
          </cell>
          <cell r="B187">
            <v>3045813</v>
          </cell>
          <cell r="C187">
            <v>0</v>
          </cell>
          <cell r="D187">
            <v>3045813</v>
          </cell>
          <cell r="E187">
            <v>0</v>
          </cell>
          <cell r="F187">
            <v>0</v>
          </cell>
          <cell r="G187">
            <v>0</v>
          </cell>
          <cell r="H187">
            <v>3045813</v>
          </cell>
          <cell r="I187">
            <v>0</v>
          </cell>
          <cell r="J187">
            <v>-3045813</v>
          </cell>
        </row>
        <row r="188">
          <cell r="A188" t="str">
            <v>5-1-01-07-001  TELEFONO</v>
          </cell>
          <cell r="B188">
            <v>275209</v>
          </cell>
          <cell r="C188">
            <v>0</v>
          </cell>
          <cell r="D188">
            <v>275209</v>
          </cell>
          <cell r="E188">
            <v>0</v>
          </cell>
          <cell r="F188">
            <v>0</v>
          </cell>
          <cell r="G188">
            <v>0</v>
          </cell>
          <cell r="H188">
            <v>275209</v>
          </cell>
          <cell r="I188">
            <v>0</v>
          </cell>
          <cell r="J188">
            <v>-275209</v>
          </cell>
        </row>
        <row r="189">
          <cell r="A189" t="str">
            <v>5-1-01-07-002  INTERNET</v>
          </cell>
          <cell r="B189">
            <v>2018058</v>
          </cell>
          <cell r="C189">
            <v>0</v>
          </cell>
          <cell r="D189">
            <v>2018058</v>
          </cell>
          <cell r="E189">
            <v>0</v>
          </cell>
          <cell r="F189">
            <v>0</v>
          </cell>
          <cell r="G189">
            <v>0</v>
          </cell>
          <cell r="H189">
            <v>2018058</v>
          </cell>
          <cell r="I189">
            <v>0</v>
          </cell>
          <cell r="J189">
            <v>-2018058</v>
          </cell>
        </row>
        <row r="190">
          <cell r="A190" t="str">
            <v>5-1-01-07-005  ARTICULOS DE OFICINA</v>
          </cell>
          <cell r="B190">
            <v>1772834</v>
          </cell>
          <cell r="C190">
            <v>0</v>
          </cell>
          <cell r="D190">
            <v>1772834</v>
          </cell>
          <cell r="E190">
            <v>0</v>
          </cell>
          <cell r="F190">
            <v>0</v>
          </cell>
          <cell r="G190">
            <v>0</v>
          </cell>
          <cell r="H190">
            <v>1772834</v>
          </cell>
          <cell r="I190">
            <v>0</v>
          </cell>
          <cell r="J190">
            <v>-1772834</v>
          </cell>
        </row>
        <row r="191">
          <cell r="A191" t="str">
            <v>5-1-01-08-001  SEGUROS BIENES FISICOS Y RESPONSABILIDAD CIVIL</v>
          </cell>
          <cell r="B191">
            <v>0</v>
          </cell>
          <cell r="C191">
            <v>1264094</v>
          </cell>
          <cell r="D191">
            <v>0</v>
          </cell>
          <cell r="E191">
            <v>1264094</v>
          </cell>
          <cell r="F191">
            <v>0</v>
          </cell>
          <cell r="G191">
            <v>0</v>
          </cell>
          <cell r="H191">
            <v>0</v>
          </cell>
          <cell r="I191">
            <v>1264094</v>
          </cell>
          <cell r="J191">
            <v>1264094</v>
          </cell>
        </row>
        <row r="192">
          <cell r="A192" t="str">
            <v>5-1-01-10-003  REMUNERACIONES TENS Y RRHH</v>
          </cell>
          <cell r="B192">
            <v>4767014</v>
          </cell>
          <cell r="C192">
            <v>0</v>
          </cell>
          <cell r="D192">
            <v>4767014</v>
          </cell>
          <cell r="E192">
            <v>0</v>
          </cell>
          <cell r="F192">
            <v>0</v>
          </cell>
          <cell r="G192">
            <v>0</v>
          </cell>
          <cell r="H192">
            <v>4767014</v>
          </cell>
          <cell r="I192">
            <v>0</v>
          </cell>
          <cell r="J192">
            <v>-4767014</v>
          </cell>
        </row>
        <row r="193">
          <cell r="A193" t="str">
            <v>5-1-01-11-001  HABILITACIÓN LOCALES OUTLET FLORIDA</v>
          </cell>
          <cell r="B193">
            <v>6748797</v>
          </cell>
          <cell r="C193">
            <v>0</v>
          </cell>
          <cell r="D193">
            <v>6748797</v>
          </cell>
          <cell r="E193">
            <v>0</v>
          </cell>
          <cell r="F193">
            <v>0</v>
          </cell>
          <cell r="G193">
            <v>0</v>
          </cell>
          <cell r="H193">
            <v>6748797</v>
          </cell>
          <cell r="I193">
            <v>0</v>
          </cell>
          <cell r="J193">
            <v>-6748797</v>
          </cell>
        </row>
        <row r="194">
          <cell r="A194" t="str">
            <v>5-1-01-11-030  HABILITACIONES GENERALES</v>
          </cell>
          <cell r="B194">
            <v>467836</v>
          </cell>
          <cell r="C194">
            <v>0</v>
          </cell>
          <cell r="D194">
            <v>467836</v>
          </cell>
          <cell r="E194">
            <v>0</v>
          </cell>
          <cell r="F194">
            <v>0</v>
          </cell>
          <cell r="G194">
            <v>0</v>
          </cell>
          <cell r="H194">
            <v>467836</v>
          </cell>
          <cell r="I194">
            <v>0</v>
          </cell>
          <cell r="J194">
            <v>-467836</v>
          </cell>
        </row>
        <row r="195">
          <cell r="A195" t="str">
            <v>5-1-03-01-001  PROMOCIONES MARKETING</v>
          </cell>
          <cell r="B195">
            <v>13000</v>
          </cell>
          <cell r="C195">
            <v>0</v>
          </cell>
          <cell r="D195">
            <v>13000</v>
          </cell>
          <cell r="E195">
            <v>0</v>
          </cell>
          <cell r="F195">
            <v>0</v>
          </cell>
          <cell r="G195">
            <v>0</v>
          </cell>
          <cell r="H195">
            <v>13000</v>
          </cell>
          <cell r="I195">
            <v>0</v>
          </cell>
          <cell r="J195">
            <v>-13000</v>
          </cell>
        </row>
        <row r="196">
          <cell r="A196" t="str">
            <v>5-1-03-01-004  PROMOCIONES VARIAS</v>
          </cell>
          <cell r="B196">
            <v>958175</v>
          </cell>
          <cell r="C196">
            <v>0</v>
          </cell>
          <cell r="D196">
            <v>958175</v>
          </cell>
          <cell r="E196">
            <v>0</v>
          </cell>
          <cell r="F196">
            <v>0</v>
          </cell>
          <cell r="G196">
            <v>0</v>
          </cell>
          <cell r="H196">
            <v>958175</v>
          </cell>
          <cell r="I196">
            <v>0</v>
          </cell>
          <cell r="J196">
            <v>-958175</v>
          </cell>
        </row>
        <row r="197">
          <cell r="A197" t="str">
            <v>5-1-03-01-005  GASTOS DERECHO AUTOR</v>
          </cell>
          <cell r="B197">
            <v>285796</v>
          </cell>
          <cell r="C197">
            <v>0</v>
          </cell>
          <cell r="D197">
            <v>285796</v>
          </cell>
          <cell r="E197">
            <v>0</v>
          </cell>
          <cell r="F197">
            <v>0</v>
          </cell>
          <cell r="G197">
            <v>0</v>
          </cell>
          <cell r="H197">
            <v>285796</v>
          </cell>
          <cell r="I197">
            <v>0</v>
          </cell>
          <cell r="J197">
            <v>-285796</v>
          </cell>
        </row>
        <row r="198">
          <cell r="A198" t="str">
            <v>5-2-01-01-001  REMUNERACIONES BRUTAS</v>
          </cell>
          <cell r="B198">
            <v>142783073</v>
          </cell>
          <cell r="C198">
            <v>0</v>
          </cell>
          <cell r="D198">
            <v>142783073</v>
          </cell>
          <cell r="E198">
            <v>0</v>
          </cell>
          <cell r="F198">
            <v>0</v>
          </cell>
          <cell r="G198">
            <v>0</v>
          </cell>
          <cell r="H198">
            <v>142783073</v>
          </cell>
          <cell r="I198">
            <v>0</v>
          </cell>
          <cell r="J198">
            <v>-142783073</v>
          </cell>
        </row>
        <row r="199">
          <cell r="A199" t="str">
            <v>5-2-01-01-002  APORTES PATRONALES</v>
          </cell>
          <cell r="B199">
            <v>3071141</v>
          </cell>
          <cell r="C199">
            <v>0</v>
          </cell>
          <cell r="D199">
            <v>3071141</v>
          </cell>
          <cell r="E199">
            <v>0</v>
          </cell>
          <cell r="F199">
            <v>0</v>
          </cell>
          <cell r="G199">
            <v>0</v>
          </cell>
          <cell r="H199">
            <v>3071141</v>
          </cell>
          <cell r="I199">
            <v>0</v>
          </cell>
          <cell r="J199">
            <v>-3071141</v>
          </cell>
        </row>
        <row r="200">
          <cell r="A200" t="str">
            <v>5-2-01-01-004  GRATIFICACIONES</v>
          </cell>
          <cell r="B200">
            <v>4481427</v>
          </cell>
          <cell r="C200">
            <v>0</v>
          </cell>
          <cell r="D200">
            <v>4481427</v>
          </cell>
          <cell r="E200">
            <v>0</v>
          </cell>
          <cell r="F200">
            <v>0</v>
          </cell>
          <cell r="G200">
            <v>0</v>
          </cell>
          <cell r="H200">
            <v>4481427</v>
          </cell>
          <cell r="I200">
            <v>0</v>
          </cell>
          <cell r="J200">
            <v>-4481427</v>
          </cell>
        </row>
        <row r="201">
          <cell r="A201" t="str">
            <v>5-2-01-01-006  OTROS NO IMPONIBLES</v>
          </cell>
          <cell r="B201">
            <v>35623665</v>
          </cell>
          <cell r="C201">
            <v>0</v>
          </cell>
          <cell r="D201">
            <v>35623665</v>
          </cell>
          <cell r="E201">
            <v>0</v>
          </cell>
          <cell r="F201">
            <v>0</v>
          </cell>
          <cell r="G201">
            <v>0</v>
          </cell>
          <cell r="H201">
            <v>35623665</v>
          </cell>
          <cell r="I201">
            <v>0</v>
          </cell>
          <cell r="J201">
            <v>-35623665</v>
          </cell>
        </row>
        <row r="202">
          <cell r="A202" t="str">
            <v>5-2-01-01-008  SEGURO COMPLEMENTARIO SALUD</v>
          </cell>
          <cell r="B202">
            <v>1483430</v>
          </cell>
          <cell r="C202">
            <v>296140</v>
          </cell>
          <cell r="D202">
            <v>1187290</v>
          </cell>
          <cell r="E202">
            <v>0</v>
          </cell>
          <cell r="F202">
            <v>0</v>
          </cell>
          <cell r="G202">
            <v>0</v>
          </cell>
          <cell r="H202">
            <v>1187290</v>
          </cell>
          <cell r="I202">
            <v>0</v>
          </cell>
          <cell r="J202">
            <v>-1187290</v>
          </cell>
        </row>
        <row r="203">
          <cell r="A203" t="str">
            <v>5-2-01-02-002  HONORARIOS SERVICIOS LEGALES</v>
          </cell>
          <cell r="B203">
            <v>5549003</v>
          </cell>
          <cell r="C203">
            <v>0</v>
          </cell>
          <cell r="D203">
            <v>5549003</v>
          </cell>
          <cell r="E203">
            <v>0</v>
          </cell>
          <cell r="F203">
            <v>0</v>
          </cell>
          <cell r="G203">
            <v>0</v>
          </cell>
          <cell r="H203">
            <v>5549003</v>
          </cell>
          <cell r="I203">
            <v>0</v>
          </cell>
          <cell r="J203">
            <v>-5549003</v>
          </cell>
        </row>
        <row r="204">
          <cell r="A204" t="str">
            <v>5-2-01-02-003  ASESORIAS Y CONSULTORIAS</v>
          </cell>
          <cell r="B204">
            <v>29406784</v>
          </cell>
          <cell r="C204">
            <v>0</v>
          </cell>
          <cell r="D204">
            <v>29406784</v>
          </cell>
          <cell r="E204">
            <v>0</v>
          </cell>
          <cell r="F204">
            <v>0</v>
          </cell>
          <cell r="G204">
            <v>0</v>
          </cell>
          <cell r="H204">
            <v>29406784</v>
          </cell>
          <cell r="I204">
            <v>0</v>
          </cell>
          <cell r="J204">
            <v>-29406784</v>
          </cell>
        </row>
        <row r="205">
          <cell r="A205" t="str">
            <v>5-2-01-02-004  SERVICIOS DE ASEO</v>
          </cell>
          <cell r="B205">
            <v>21178301</v>
          </cell>
          <cell r="C205">
            <v>1113393</v>
          </cell>
          <cell r="D205">
            <v>20064908</v>
          </cell>
          <cell r="E205">
            <v>0</v>
          </cell>
          <cell r="F205">
            <v>0</v>
          </cell>
          <cell r="G205">
            <v>0</v>
          </cell>
          <cell r="H205">
            <v>20064908</v>
          </cell>
          <cell r="I205">
            <v>0</v>
          </cell>
          <cell r="J205">
            <v>-20064908</v>
          </cell>
        </row>
        <row r="206">
          <cell r="A206" t="str">
            <v>5-2-01-02-007  SERVICIOS DE PUBLICIDAD Y MARKETING</v>
          </cell>
          <cell r="B206">
            <v>7301139</v>
          </cell>
          <cell r="C206">
            <v>0</v>
          </cell>
          <cell r="D206">
            <v>7301139</v>
          </cell>
          <cell r="E206">
            <v>0</v>
          </cell>
          <cell r="F206">
            <v>0</v>
          </cell>
          <cell r="G206">
            <v>0</v>
          </cell>
          <cell r="H206">
            <v>7301139</v>
          </cell>
          <cell r="I206">
            <v>0</v>
          </cell>
          <cell r="J206">
            <v>-7301139</v>
          </cell>
        </row>
        <row r="207">
          <cell r="A207" t="str">
            <v>5-2-01-02-011  PAGOS LEGALES Y DEMANDAS</v>
          </cell>
          <cell r="B207">
            <v>13252683</v>
          </cell>
          <cell r="C207">
            <v>0</v>
          </cell>
          <cell r="D207">
            <v>13252683</v>
          </cell>
          <cell r="E207">
            <v>0</v>
          </cell>
          <cell r="F207">
            <v>0</v>
          </cell>
          <cell r="G207">
            <v>0</v>
          </cell>
          <cell r="H207">
            <v>13252683</v>
          </cell>
          <cell r="I207">
            <v>0</v>
          </cell>
          <cell r="J207">
            <v>-13252683</v>
          </cell>
        </row>
        <row r="208">
          <cell r="A208" t="str">
            <v>5-2-01-03-002  GASTOS NOTARIALES</v>
          </cell>
          <cell r="B208">
            <v>401000</v>
          </cell>
          <cell r="C208">
            <v>0</v>
          </cell>
          <cell r="D208">
            <v>401000</v>
          </cell>
          <cell r="E208">
            <v>0</v>
          </cell>
          <cell r="F208">
            <v>0</v>
          </cell>
          <cell r="G208">
            <v>0</v>
          </cell>
          <cell r="H208">
            <v>401000</v>
          </cell>
          <cell r="I208">
            <v>0</v>
          </cell>
          <cell r="J208">
            <v>-401000</v>
          </cell>
        </row>
        <row r="209">
          <cell r="A209" t="str">
            <v>5-2-01-03-004  GASTO IVA PROPORCIONAL</v>
          </cell>
          <cell r="B209">
            <v>11555387</v>
          </cell>
          <cell r="C209">
            <v>0</v>
          </cell>
          <cell r="D209">
            <v>11555387</v>
          </cell>
          <cell r="E209">
            <v>0</v>
          </cell>
          <cell r="F209">
            <v>0</v>
          </cell>
          <cell r="G209">
            <v>0</v>
          </cell>
          <cell r="H209">
            <v>11555387</v>
          </cell>
          <cell r="I209">
            <v>0</v>
          </cell>
          <cell r="J209">
            <v>-11555387</v>
          </cell>
        </row>
        <row r="210">
          <cell r="A210" t="str">
            <v>5-2-01-03-006  GASTOS GENERALES</v>
          </cell>
          <cell r="B210">
            <v>4122694</v>
          </cell>
          <cell r="C210">
            <v>0</v>
          </cell>
          <cell r="D210">
            <v>4122694</v>
          </cell>
          <cell r="E210">
            <v>0</v>
          </cell>
          <cell r="F210">
            <v>0</v>
          </cell>
          <cell r="G210">
            <v>0</v>
          </cell>
          <cell r="H210">
            <v>4122694</v>
          </cell>
          <cell r="I210">
            <v>0</v>
          </cell>
          <cell r="J210">
            <v>-4122694</v>
          </cell>
        </row>
        <row r="211">
          <cell r="A211" t="str">
            <v>5-2-01-05-001  GASTOS DE REPRESENTACION</v>
          </cell>
          <cell r="B211">
            <v>3949892</v>
          </cell>
          <cell r="C211">
            <v>0</v>
          </cell>
          <cell r="D211">
            <v>3949892</v>
          </cell>
          <cell r="E211">
            <v>0</v>
          </cell>
          <cell r="F211">
            <v>0</v>
          </cell>
          <cell r="G211">
            <v>0</v>
          </cell>
          <cell r="H211">
            <v>3949892</v>
          </cell>
          <cell r="I211">
            <v>0</v>
          </cell>
          <cell r="J211">
            <v>-3949892</v>
          </cell>
        </row>
        <row r="212">
          <cell r="A212" t="str">
            <v>5-2-01-06-001  ARRIENDOS</v>
          </cell>
          <cell r="B212">
            <v>4485989</v>
          </cell>
          <cell r="C212">
            <v>0</v>
          </cell>
          <cell r="D212">
            <v>4485989</v>
          </cell>
          <cell r="E212">
            <v>0</v>
          </cell>
          <cell r="F212">
            <v>0</v>
          </cell>
          <cell r="G212">
            <v>0</v>
          </cell>
          <cell r="H212">
            <v>4485989</v>
          </cell>
          <cell r="I212">
            <v>0</v>
          </cell>
          <cell r="J212">
            <v>-4485989</v>
          </cell>
        </row>
        <row r="213">
          <cell r="A213" t="str">
            <v>5-2-01-07-001  CONTRIBUCIONES</v>
          </cell>
          <cell r="B213">
            <v>430558319</v>
          </cell>
          <cell r="C213">
            <v>0</v>
          </cell>
          <cell r="D213">
            <v>430558319</v>
          </cell>
          <cell r="E213">
            <v>0</v>
          </cell>
          <cell r="F213">
            <v>0</v>
          </cell>
          <cell r="G213">
            <v>0</v>
          </cell>
          <cell r="H213">
            <v>430558319</v>
          </cell>
          <cell r="I213">
            <v>0</v>
          </cell>
          <cell r="J213">
            <v>-430558319</v>
          </cell>
        </row>
        <row r="214">
          <cell r="A214" t="str">
            <v>5-3-01-01-001  INTERESES LEASING</v>
          </cell>
          <cell r="B214">
            <v>67363833</v>
          </cell>
          <cell r="C214">
            <v>2</v>
          </cell>
          <cell r="D214">
            <v>67363831</v>
          </cell>
          <cell r="E214">
            <v>0</v>
          </cell>
          <cell r="F214">
            <v>0</v>
          </cell>
          <cell r="G214">
            <v>0</v>
          </cell>
          <cell r="H214">
            <v>67363831</v>
          </cell>
          <cell r="I214">
            <v>0</v>
          </cell>
          <cell r="J214">
            <v>-67363831</v>
          </cell>
        </row>
        <row r="215">
          <cell r="A215" t="str">
            <v>5-3-01-01-002  GASTOS BANCARIOS</v>
          </cell>
          <cell r="B215">
            <v>1333226</v>
          </cell>
          <cell r="C215">
            <v>0</v>
          </cell>
          <cell r="D215">
            <v>1333226</v>
          </cell>
          <cell r="E215">
            <v>0</v>
          </cell>
          <cell r="F215">
            <v>0</v>
          </cell>
          <cell r="G215">
            <v>0</v>
          </cell>
          <cell r="H215">
            <v>1333226</v>
          </cell>
          <cell r="I215">
            <v>0</v>
          </cell>
          <cell r="J215">
            <v>-1333226</v>
          </cell>
        </row>
        <row r="216">
          <cell r="A216" t="str">
            <v>5-3-01-01-003  MULTAS INTERESES Y REAJUSTES</v>
          </cell>
          <cell r="B216">
            <v>533498</v>
          </cell>
          <cell r="C216">
            <v>0</v>
          </cell>
          <cell r="D216">
            <v>533498</v>
          </cell>
          <cell r="E216">
            <v>0</v>
          </cell>
          <cell r="F216">
            <v>0</v>
          </cell>
          <cell r="G216">
            <v>0</v>
          </cell>
          <cell r="H216">
            <v>533498</v>
          </cell>
          <cell r="I216">
            <v>0</v>
          </cell>
          <cell r="J216">
            <v>-533498</v>
          </cell>
        </row>
        <row r="217">
          <cell r="A217" t="str">
            <v>5-3-01-01-005  GASTOS E INTERESES COMERCIALES</v>
          </cell>
          <cell r="B217">
            <v>16606411</v>
          </cell>
          <cell r="C217">
            <v>0</v>
          </cell>
          <cell r="D217">
            <v>16606411</v>
          </cell>
          <cell r="E217">
            <v>0</v>
          </cell>
          <cell r="F217">
            <v>0</v>
          </cell>
          <cell r="G217">
            <v>0</v>
          </cell>
          <cell r="H217">
            <v>16606411</v>
          </cell>
          <cell r="I217">
            <v>0</v>
          </cell>
          <cell r="J217">
            <v>-16606411</v>
          </cell>
        </row>
        <row r="218">
          <cell r="A218" t="str">
            <v>5-3-01-02-003  OTROS EGRESOS</v>
          </cell>
          <cell r="B218">
            <v>98678</v>
          </cell>
          <cell r="C218">
            <v>0</v>
          </cell>
          <cell r="D218">
            <v>98678</v>
          </cell>
          <cell r="E218">
            <v>0</v>
          </cell>
          <cell r="F218">
            <v>0</v>
          </cell>
          <cell r="G218">
            <v>0</v>
          </cell>
          <cell r="H218">
            <v>98678</v>
          </cell>
          <cell r="I218">
            <v>0</v>
          </cell>
          <cell r="J218">
            <v>-98678</v>
          </cell>
        </row>
        <row r="219">
          <cell r="A219" t="str">
            <v>5-3-01-02-006  GANANCIA (PERDIDA) SWAP</v>
          </cell>
          <cell r="B219">
            <v>103113270</v>
          </cell>
          <cell r="C219">
            <v>0</v>
          </cell>
          <cell r="D219">
            <v>103113270</v>
          </cell>
          <cell r="E219">
            <v>0</v>
          </cell>
          <cell r="F219">
            <v>0</v>
          </cell>
          <cell r="G219">
            <v>0</v>
          </cell>
          <cell r="H219">
            <v>103113270</v>
          </cell>
          <cell r="I219">
            <v>0</v>
          </cell>
          <cell r="J219">
            <v>-103113270</v>
          </cell>
        </row>
        <row r="220">
          <cell r="A220" t="str">
            <v>5-3-01-02-007  MAYOR / MENOR VALOR DE INVERSIONES</v>
          </cell>
          <cell r="B220">
            <v>146369</v>
          </cell>
          <cell r="C220">
            <v>66966180</v>
          </cell>
          <cell r="D220">
            <v>0</v>
          </cell>
          <cell r="E220">
            <v>66819811</v>
          </cell>
          <cell r="F220">
            <v>0</v>
          </cell>
          <cell r="G220">
            <v>0</v>
          </cell>
          <cell r="H220">
            <v>0</v>
          </cell>
          <cell r="I220">
            <v>66819811</v>
          </cell>
          <cell r="J220">
            <v>66819811</v>
          </cell>
        </row>
        <row r="221">
          <cell r="A221" t="str">
            <v>5-3-01-02-020  COSTO MANDATO INVERSIONES NUEVA SANTA FIDELMIRA LIMITADA</v>
          </cell>
          <cell r="B221">
            <v>36503476</v>
          </cell>
          <cell r="C221">
            <v>0</v>
          </cell>
          <cell r="D221">
            <v>36503476</v>
          </cell>
          <cell r="E221">
            <v>0</v>
          </cell>
          <cell r="F221">
            <v>0</v>
          </cell>
          <cell r="G221">
            <v>0</v>
          </cell>
          <cell r="H221">
            <v>36503476</v>
          </cell>
          <cell r="I221">
            <v>0</v>
          </cell>
          <cell r="J221">
            <v>-36503476</v>
          </cell>
        </row>
        <row r="222">
          <cell r="A222" t="str">
            <v>5-3-01-03-004  CORRECCION REMANENTE CREDITO FISCAL</v>
          </cell>
          <cell r="B222">
            <v>243</v>
          </cell>
          <cell r="C222">
            <v>0</v>
          </cell>
          <cell r="D222">
            <v>243</v>
          </cell>
          <cell r="E222">
            <v>0</v>
          </cell>
          <cell r="F222">
            <v>0</v>
          </cell>
          <cell r="G222">
            <v>0</v>
          </cell>
          <cell r="H222">
            <v>243</v>
          </cell>
          <cell r="I222">
            <v>0</v>
          </cell>
          <cell r="J222">
            <v>-243</v>
          </cell>
        </row>
        <row r="223">
          <cell r="A223" t="str">
            <v>5-3-01-03-006  CORRECCION EN UF</v>
          </cell>
          <cell r="B223">
            <v>88644839</v>
          </cell>
          <cell r="C223">
            <v>7361668</v>
          </cell>
          <cell r="D223">
            <v>81283171</v>
          </cell>
          <cell r="E223">
            <v>0</v>
          </cell>
          <cell r="F223">
            <v>0</v>
          </cell>
          <cell r="G223">
            <v>0</v>
          </cell>
          <cell r="H223">
            <v>81283171</v>
          </cell>
          <cell r="I223">
            <v>0</v>
          </cell>
          <cell r="J223">
            <v>-81283171</v>
          </cell>
        </row>
        <row r="224">
          <cell r="A224" t="str">
            <v>5-3-01-03-011  VARIACION USD</v>
          </cell>
          <cell r="B224">
            <v>16183683</v>
          </cell>
          <cell r="C224">
            <v>15998574</v>
          </cell>
          <cell r="D224">
            <v>185109</v>
          </cell>
          <cell r="E224">
            <v>0</v>
          </cell>
          <cell r="F224">
            <v>0</v>
          </cell>
          <cell r="G224">
            <v>0</v>
          </cell>
          <cell r="H224">
            <v>185109</v>
          </cell>
          <cell r="I224">
            <v>0</v>
          </cell>
          <cell r="J224">
            <v>-185109</v>
          </cell>
        </row>
        <row r="225">
          <cell r="A225" t="str">
            <v>5-3-01-05-001  DEPRECIACIONES</v>
          </cell>
          <cell r="B225">
            <v>34812824</v>
          </cell>
          <cell r="C225">
            <v>0</v>
          </cell>
          <cell r="D225">
            <v>34812824</v>
          </cell>
          <cell r="E225">
            <v>0</v>
          </cell>
          <cell r="F225">
            <v>0</v>
          </cell>
          <cell r="G225">
            <v>0</v>
          </cell>
          <cell r="H225">
            <v>34812824</v>
          </cell>
          <cell r="I225">
            <v>0</v>
          </cell>
          <cell r="J225">
            <v>-34812824</v>
          </cell>
        </row>
        <row r="226">
          <cell r="A226" t="str">
            <v>5-3-01-05-002  DEPRECIACION BIENES EN LEASING</v>
          </cell>
          <cell r="B226">
            <v>550576673</v>
          </cell>
          <cell r="C226">
            <v>489401485</v>
          </cell>
          <cell r="D226">
            <v>61175188</v>
          </cell>
          <cell r="E226">
            <v>0</v>
          </cell>
          <cell r="F226">
            <v>0</v>
          </cell>
          <cell r="G226">
            <v>0</v>
          </cell>
          <cell r="H226">
            <v>61175188</v>
          </cell>
          <cell r="I226">
            <v>0</v>
          </cell>
          <cell r="J226">
            <v>-61175188</v>
          </cell>
        </row>
        <row r="227">
          <cell r="A227" t="str">
            <v>Sub-Totales</v>
          </cell>
          <cell r="B227">
            <v>11929588294</v>
          </cell>
          <cell r="C227">
            <v>11929588294</v>
          </cell>
          <cell r="D227">
            <v>2144918299</v>
          </cell>
          <cell r="E227">
            <v>2144918299</v>
          </cell>
          <cell r="F227">
            <v>766869238</v>
          </cell>
          <cell r="G227">
            <v>924275509</v>
          </cell>
          <cell r="H227">
            <v>1378049061</v>
          </cell>
          <cell r="I227">
            <v>1220642790</v>
          </cell>
          <cell r="J227">
            <v>0</v>
          </cell>
        </row>
        <row r="228">
          <cell r="A228" t="str">
            <v>Pérdidas / Ganancias</v>
          </cell>
          <cell r="B228"/>
          <cell r="C228"/>
          <cell r="D228"/>
          <cell r="E228"/>
          <cell r="F228">
            <v>157406271</v>
          </cell>
          <cell r="G228"/>
          <cell r="H228"/>
          <cell r="I228">
            <v>157406271</v>
          </cell>
        </row>
        <row r="229">
          <cell r="A229" t="str">
            <v>Total General</v>
          </cell>
          <cell r="B229">
            <v>11929588294</v>
          </cell>
          <cell r="C229">
            <v>11929588294</v>
          </cell>
          <cell r="D229">
            <v>2144918299</v>
          </cell>
          <cell r="E229">
            <v>2144918299</v>
          </cell>
          <cell r="F229">
            <v>924275509</v>
          </cell>
          <cell r="G229">
            <v>924275509</v>
          </cell>
          <cell r="H229">
            <v>1378049061</v>
          </cell>
          <cell r="I229">
            <v>1378049061</v>
          </cell>
        </row>
      </sheetData>
      <sheetData sheetId="18">
        <row r="1">
          <cell r="A1" t="str">
            <v>INVERSIONES SANTA FIDELMIRA LIMITADA</v>
          </cell>
          <cell r="B1"/>
          <cell r="C1"/>
          <cell r="D1"/>
          <cell r="E1"/>
          <cell r="F1"/>
          <cell r="G1"/>
          <cell r="H1"/>
          <cell r="I1"/>
        </row>
        <row r="2">
          <cell r="A2" t="str">
            <v>ARRIENDO, EXPLOTACION  BIENES INMUEBLES</v>
          </cell>
          <cell r="B2"/>
          <cell r="C2"/>
          <cell r="D2"/>
          <cell r="E2"/>
          <cell r="F2"/>
          <cell r="G2"/>
          <cell r="H2"/>
          <cell r="I2"/>
        </row>
        <row r="3">
          <cell r="A3" t="str">
            <v>MAIPU #599</v>
          </cell>
          <cell r="B3"/>
          <cell r="C3"/>
          <cell r="D3"/>
          <cell r="E3"/>
          <cell r="F3"/>
          <cell r="G3"/>
          <cell r="H3"/>
          <cell r="I3"/>
        </row>
        <row r="4">
          <cell r="A4" t="str">
            <v>LINARES</v>
          </cell>
          <cell r="B4"/>
          <cell r="C4"/>
          <cell r="D4"/>
          <cell r="E4"/>
          <cell r="F4"/>
          <cell r="G4"/>
          <cell r="H4"/>
          <cell r="I4"/>
        </row>
        <row r="5">
          <cell r="A5" t="str">
            <v>LINARES</v>
          </cell>
          <cell r="B5"/>
          <cell r="C5"/>
          <cell r="D5"/>
          <cell r="E5"/>
          <cell r="F5"/>
          <cell r="G5"/>
          <cell r="H5"/>
          <cell r="I5"/>
        </row>
        <row r="6">
          <cell r="A6" t="str">
            <v>79.991.280-5</v>
          </cell>
          <cell r="B6"/>
          <cell r="C6"/>
          <cell r="D6"/>
          <cell r="E6"/>
          <cell r="F6"/>
          <cell r="G6"/>
          <cell r="H6" t="str">
            <v>Fecha :</v>
          </cell>
          <cell r="I6" t="str">
            <v>17/12/2025</v>
          </cell>
        </row>
        <row r="7">
          <cell r="A7"/>
          <cell r="B7"/>
          <cell r="C7"/>
          <cell r="D7"/>
          <cell r="E7"/>
          <cell r="F7"/>
          <cell r="G7"/>
          <cell r="H7"/>
          <cell r="I7"/>
        </row>
        <row r="8">
          <cell r="A8" t="str">
            <v>Balance Tributario</v>
          </cell>
          <cell r="B8"/>
          <cell r="C8"/>
          <cell r="D8"/>
          <cell r="E8"/>
          <cell r="F8"/>
          <cell r="G8"/>
          <cell r="H8"/>
          <cell r="I8"/>
        </row>
        <row r="9">
          <cell r="A9" t="str">
            <v xml:space="preserve"> Desde :Octubre/2025</v>
          </cell>
          <cell r="B9"/>
          <cell r="C9"/>
          <cell r="D9"/>
          <cell r="E9"/>
          <cell r="F9"/>
          <cell r="G9"/>
          <cell r="H9"/>
          <cell r="I9"/>
        </row>
        <row r="10">
          <cell r="A10" t="str">
            <v xml:space="preserve"> Hasta :Octubre/2025</v>
          </cell>
          <cell r="B10"/>
          <cell r="C10"/>
          <cell r="D10"/>
          <cell r="E10"/>
          <cell r="F10"/>
          <cell r="G10"/>
          <cell r="H10"/>
          <cell r="I10"/>
        </row>
        <row r="11">
          <cell r="A11"/>
          <cell r="B11"/>
          <cell r="C11"/>
          <cell r="D11"/>
          <cell r="E11"/>
          <cell r="F11"/>
          <cell r="G11"/>
          <cell r="H11"/>
          <cell r="I11"/>
        </row>
        <row r="12">
          <cell r="A12" t="str">
            <v>Cuenta Contable</v>
          </cell>
          <cell r="B12" t="str">
            <v>Valores Acumulados</v>
          </cell>
          <cell r="C12"/>
          <cell r="D12" t="str">
            <v>Saldos</v>
          </cell>
          <cell r="E12"/>
          <cell r="F12" t="str">
            <v>Inventario</v>
          </cell>
          <cell r="G12"/>
          <cell r="H12" t="str">
            <v>Resultados</v>
          </cell>
          <cell r="I12"/>
        </row>
        <row r="13">
          <cell r="A13"/>
          <cell r="B13" t="str">
            <v>Débitos</v>
          </cell>
          <cell r="C13" t="str">
            <v>Créditos</v>
          </cell>
          <cell r="D13" t="str">
            <v>Deudor</v>
          </cell>
          <cell r="E13" t="str">
            <v>Acreedor</v>
          </cell>
          <cell r="F13" t="str">
            <v>Activo</v>
          </cell>
          <cell r="G13" t="str">
            <v>Pasivo</v>
          </cell>
          <cell r="H13" t="str">
            <v>Pérdida</v>
          </cell>
          <cell r="I13" t="str">
            <v>Ganancia</v>
          </cell>
        </row>
        <row r="14">
          <cell r="A14" t="str">
            <v>1-1-10-01-004  CAJA CHICA OUTLET TALCA</v>
          </cell>
          <cell r="B14">
            <v>5000000</v>
          </cell>
          <cell r="C14">
            <v>3230686</v>
          </cell>
          <cell r="D14">
            <v>1769314</v>
          </cell>
          <cell r="E14">
            <v>0</v>
          </cell>
          <cell r="F14">
            <v>1769314</v>
          </cell>
          <cell r="G14">
            <v>0</v>
          </cell>
          <cell r="H14">
            <v>0</v>
          </cell>
          <cell r="I14">
            <v>0</v>
          </cell>
          <cell r="J14">
            <v>1769314</v>
          </cell>
        </row>
        <row r="15">
          <cell r="A15" t="str">
            <v>1-1-10-01-005  CAJA CHICA LINARES</v>
          </cell>
          <cell r="B15">
            <v>1157260</v>
          </cell>
          <cell r="C15">
            <v>1157256</v>
          </cell>
          <cell r="D15">
            <v>4</v>
          </cell>
          <cell r="E15">
            <v>0</v>
          </cell>
          <cell r="F15">
            <v>4</v>
          </cell>
          <cell r="G15">
            <v>0</v>
          </cell>
          <cell r="H15">
            <v>0</v>
          </cell>
          <cell r="I15">
            <v>0</v>
          </cell>
          <cell r="J15">
            <v>4</v>
          </cell>
        </row>
        <row r="16">
          <cell r="A16" t="str">
            <v>1-1-10-01-007  CAJA CHICA SANTIAGO</v>
          </cell>
          <cell r="B16">
            <v>515567</v>
          </cell>
          <cell r="C16">
            <v>488966</v>
          </cell>
          <cell r="D16">
            <v>26601</v>
          </cell>
          <cell r="E16">
            <v>0</v>
          </cell>
          <cell r="F16">
            <v>26601</v>
          </cell>
          <cell r="G16">
            <v>0</v>
          </cell>
          <cell r="H16">
            <v>0</v>
          </cell>
          <cell r="I16">
            <v>0</v>
          </cell>
          <cell r="J16">
            <v>26601</v>
          </cell>
        </row>
        <row r="17">
          <cell r="A17" t="str">
            <v>1-1-10-01-008  CAJA CHICA OFICINAS SANTIAGO</v>
          </cell>
          <cell r="B17">
            <v>1500000</v>
          </cell>
          <cell r="C17">
            <v>2084937</v>
          </cell>
          <cell r="D17">
            <v>0</v>
          </cell>
          <cell r="E17">
            <v>584937</v>
          </cell>
          <cell r="F17">
            <v>0</v>
          </cell>
          <cell r="G17">
            <v>584937</v>
          </cell>
          <cell r="H17">
            <v>0</v>
          </cell>
          <cell r="I17">
            <v>0</v>
          </cell>
          <cell r="J17">
            <v>-584937</v>
          </cell>
        </row>
        <row r="18">
          <cell r="A18" t="str">
            <v>1-1-10-01-009  CAJA CHICA OFICINA GERENCIAL</v>
          </cell>
          <cell r="B18">
            <v>500000</v>
          </cell>
          <cell r="C18">
            <v>476905</v>
          </cell>
          <cell r="D18">
            <v>23095</v>
          </cell>
          <cell r="E18">
            <v>0</v>
          </cell>
          <cell r="F18">
            <v>23095</v>
          </cell>
          <cell r="G18">
            <v>0</v>
          </cell>
          <cell r="H18">
            <v>0</v>
          </cell>
          <cell r="I18">
            <v>0</v>
          </cell>
          <cell r="J18">
            <v>23095</v>
          </cell>
        </row>
        <row r="19">
          <cell r="A19" t="str">
            <v>1-1-10-02-002  BANCO SANTANDER 25996240</v>
          </cell>
          <cell r="B19">
            <v>1590873434</v>
          </cell>
          <cell r="C19">
            <v>1590873434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1-1-10-02-004  BANCO CREDITO E INVERSIONES</v>
          </cell>
          <cell r="B20">
            <v>195114972</v>
          </cell>
          <cell r="C20">
            <v>186546833</v>
          </cell>
          <cell r="D20">
            <v>8568139</v>
          </cell>
          <cell r="E20">
            <v>0</v>
          </cell>
          <cell r="F20">
            <v>8568139</v>
          </cell>
          <cell r="G20">
            <v>0</v>
          </cell>
          <cell r="H20">
            <v>0</v>
          </cell>
          <cell r="I20">
            <v>0</v>
          </cell>
          <cell r="J20">
            <v>8568139</v>
          </cell>
        </row>
        <row r="21">
          <cell r="A21" t="str">
            <v>1-1-10-02-005  BANCO ITAU</v>
          </cell>
          <cell r="B21">
            <v>378051954</v>
          </cell>
          <cell r="C21">
            <v>305640084</v>
          </cell>
          <cell r="D21">
            <v>72411870</v>
          </cell>
          <cell r="E21">
            <v>0</v>
          </cell>
          <cell r="F21">
            <v>72411870</v>
          </cell>
          <cell r="G21">
            <v>0</v>
          </cell>
          <cell r="H21">
            <v>0</v>
          </cell>
          <cell r="I21">
            <v>0</v>
          </cell>
          <cell r="J21">
            <v>72411870</v>
          </cell>
        </row>
        <row r="22">
          <cell r="A22" t="str">
            <v>1-1-10-02-006  BANCO INTERNACIONAL</v>
          </cell>
          <cell r="B22">
            <v>144908997</v>
          </cell>
          <cell r="C22">
            <v>144932612</v>
          </cell>
          <cell r="D22">
            <v>0</v>
          </cell>
          <cell r="E22">
            <v>23615</v>
          </cell>
          <cell r="F22">
            <v>0</v>
          </cell>
          <cell r="G22">
            <v>23615</v>
          </cell>
          <cell r="H22">
            <v>0</v>
          </cell>
          <cell r="I22">
            <v>0</v>
          </cell>
          <cell r="J22">
            <v>-23615</v>
          </cell>
        </row>
        <row r="23">
          <cell r="A23" t="str">
            <v>1-1-10-02-007  BANCO BCI CHILE DOLARES</v>
          </cell>
          <cell r="B23">
            <v>25594230</v>
          </cell>
          <cell r="C23">
            <v>1215849</v>
          </cell>
          <cell r="D23">
            <v>24378381</v>
          </cell>
          <cell r="E23">
            <v>0</v>
          </cell>
          <cell r="F23">
            <v>24378381</v>
          </cell>
          <cell r="G23">
            <v>0</v>
          </cell>
          <cell r="H23">
            <v>0</v>
          </cell>
          <cell r="I23">
            <v>0</v>
          </cell>
          <cell r="J23">
            <v>24378381</v>
          </cell>
        </row>
        <row r="24">
          <cell r="A24" t="str">
            <v>1-1-20-01-003  ACCIONES CFINRENTAS BANCO SANTANDER</v>
          </cell>
          <cell r="B24">
            <v>19584111</v>
          </cell>
          <cell r="C24">
            <v>0</v>
          </cell>
          <cell r="D24">
            <v>19584111</v>
          </cell>
          <cell r="E24">
            <v>0</v>
          </cell>
          <cell r="F24">
            <v>19584111</v>
          </cell>
          <cell r="G24">
            <v>0</v>
          </cell>
          <cell r="H24">
            <v>0</v>
          </cell>
          <cell r="I24">
            <v>0</v>
          </cell>
          <cell r="J24">
            <v>19584111</v>
          </cell>
        </row>
        <row r="25">
          <cell r="A25" t="str">
            <v>1-1-20-01-006  FONDOS MUTUOS BCI PESOS</v>
          </cell>
          <cell r="B25">
            <v>1770983</v>
          </cell>
          <cell r="C25">
            <v>0</v>
          </cell>
          <cell r="D25">
            <v>1770983</v>
          </cell>
          <cell r="E25">
            <v>0</v>
          </cell>
          <cell r="F25">
            <v>1770983</v>
          </cell>
          <cell r="G25">
            <v>0</v>
          </cell>
          <cell r="H25">
            <v>0</v>
          </cell>
          <cell r="I25">
            <v>0</v>
          </cell>
          <cell r="J25">
            <v>1770983</v>
          </cell>
        </row>
        <row r="26">
          <cell r="A26" t="str">
            <v>1-1-20-02-004  DAP BCI USD</v>
          </cell>
          <cell r="B26">
            <v>0</v>
          </cell>
          <cell r="C26">
            <v>3403617</v>
          </cell>
          <cell r="D26">
            <v>0</v>
          </cell>
          <cell r="E26">
            <v>3403617</v>
          </cell>
          <cell r="F26">
            <v>0</v>
          </cell>
          <cell r="G26">
            <v>3403617</v>
          </cell>
          <cell r="H26">
            <v>0</v>
          </cell>
          <cell r="I26">
            <v>0</v>
          </cell>
          <cell r="J26">
            <v>-3403617</v>
          </cell>
        </row>
        <row r="27">
          <cell r="A27" t="str">
            <v>1-1-20-02-006  DEPOSITOS A PLAZO BCO INTERNACIONAL</v>
          </cell>
          <cell r="B27">
            <v>701896806</v>
          </cell>
          <cell r="C27">
            <v>797950602</v>
          </cell>
          <cell r="D27">
            <v>0</v>
          </cell>
          <cell r="E27">
            <v>96053796</v>
          </cell>
          <cell r="F27">
            <v>0</v>
          </cell>
          <cell r="G27">
            <v>96053796</v>
          </cell>
          <cell r="H27">
            <v>0</v>
          </cell>
          <cell r="I27">
            <v>0</v>
          </cell>
          <cell r="J27">
            <v>-96053796</v>
          </cell>
        </row>
        <row r="28">
          <cell r="A28" t="str">
            <v>1-1-20-04-004  INVERSIONES FI BTG PACTUAL RENTAS EN PESOS</v>
          </cell>
          <cell r="B28">
            <v>28222600</v>
          </cell>
          <cell r="C28">
            <v>0</v>
          </cell>
          <cell r="D28">
            <v>28222600</v>
          </cell>
          <cell r="E28">
            <v>0</v>
          </cell>
          <cell r="F28">
            <v>28222600</v>
          </cell>
          <cell r="G28">
            <v>0</v>
          </cell>
          <cell r="H28">
            <v>0</v>
          </cell>
          <cell r="I28">
            <v>0</v>
          </cell>
          <cell r="J28">
            <v>28222600</v>
          </cell>
        </row>
        <row r="29">
          <cell r="A29" t="str">
            <v>1-1-20-04-005  INVERSIONES BTG FONDO MINING EN DOLARES</v>
          </cell>
          <cell r="B29">
            <v>0</v>
          </cell>
          <cell r="C29">
            <v>51</v>
          </cell>
          <cell r="D29">
            <v>0</v>
          </cell>
          <cell r="E29">
            <v>51</v>
          </cell>
          <cell r="F29">
            <v>0</v>
          </cell>
          <cell r="G29">
            <v>51</v>
          </cell>
          <cell r="H29">
            <v>0</v>
          </cell>
          <cell r="I29">
            <v>0</v>
          </cell>
          <cell r="J29">
            <v>-51</v>
          </cell>
        </row>
        <row r="30">
          <cell r="A30" t="str">
            <v>1-1-20-04-006  BANCHILE CORREDORES DE BOLSA DOLARES</v>
          </cell>
          <cell r="B30">
            <v>0</v>
          </cell>
          <cell r="C30">
            <v>27128</v>
          </cell>
          <cell r="D30">
            <v>0</v>
          </cell>
          <cell r="E30">
            <v>27128</v>
          </cell>
          <cell r="F30">
            <v>0</v>
          </cell>
          <cell r="G30">
            <v>27128</v>
          </cell>
          <cell r="H30">
            <v>0</v>
          </cell>
          <cell r="I30">
            <v>0</v>
          </cell>
          <cell r="J30">
            <v>-27128</v>
          </cell>
        </row>
        <row r="31">
          <cell r="A31" t="str">
            <v>1-1-20-04-009  ACCIONES BCI CORREDOR BOLSA</v>
          </cell>
          <cell r="B31">
            <v>51137130</v>
          </cell>
          <cell r="C31">
            <v>0</v>
          </cell>
          <cell r="D31">
            <v>51137130</v>
          </cell>
          <cell r="E31">
            <v>0</v>
          </cell>
          <cell r="F31">
            <v>51137130</v>
          </cell>
          <cell r="G31">
            <v>0</v>
          </cell>
          <cell r="H31">
            <v>0</v>
          </cell>
          <cell r="I31">
            <v>0</v>
          </cell>
          <cell r="J31">
            <v>51137130</v>
          </cell>
        </row>
        <row r="32">
          <cell r="A32" t="str">
            <v>1-1-20-04-013  FONDO MUTUO BTG MONEY MARKET PESOS</v>
          </cell>
          <cell r="B32">
            <v>27752</v>
          </cell>
          <cell r="C32">
            <v>0</v>
          </cell>
          <cell r="D32">
            <v>27752</v>
          </cell>
          <cell r="E32">
            <v>0</v>
          </cell>
          <cell r="F32">
            <v>27752</v>
          </cell>
          <cell r="G32">
            <v>0</v>
          </cell>
          <cell r="H32">
            <v>0</v>
          </cell>
          <cell r="I32">
            <v>0</v>
          </cell>
          <cell r="J32">
            <v>27752</v>
          </cell>
        </row>
        <row r="33">
          <cell r="A33" t="str">
            <v>1-1-30-01-004  POVISION INGRESOS</v>
          </cell>
          <cell r="B33">
            <v>192745260</v>
          </cell>
          <cell r="C33">
            <v>192019758</v>
          </cell>
          <cell r="D33">
            <v>725502</v>
          </cell>
          <cell r="E33">
            <v>0</v>
          </cell>
          <cell r="F33">
            <v>725502</v>
          </cell>
          <cell r="G33">
            <v>0</v>
          </cell>
          <cell r="H33">
            <v>0</v>
          </cell>
          <cell r="I33">
            <v>0</v>
          </cell>
          <cell r="J33">
            <v>725502</v>
          </cell>
        </row>
        <row r="34">
          <cell r="A34" t="str">
            <v>1-1-30-01-005  CLIENTES 2</v>
          </cell>
          <cell r="B34">
            <v>1305061959</v>
          </cell>
          <cell r="C34">
            <v>1275868925</v>
          </cell>
          <cell r="D34">
            <v>29193034</v>
          </cell>
          <cell r="E34">
            <v>0</v>
          </cell>
          <cell r="F34">
            <v>29193034</v>
          </cell>
          <cell r="G34">
            <v>0</v>
          </cell>
          <cell r="H34">
            <v>0</v>
          </cell>
          <cell r="I34">
            <v>0</v>
          </cell>
          <cell r="J34">
            <v>29193034</v>
          </cell>
        </row>
        <row r="35">
          <cell r="A35" t="str">
            <v>1-1-30-01-006  DEUDORES EN PROCESO CASTIGO</v>
          </cell>
          <cell r="B35">
            <v>0</v>
          </cell>
          <cell r="C35">
            <v>5043600</v>
          </cell>
          <cell r="D35">
            <v>0</v>
          </cell>
          <cell r="E35">
            <v>5043600</v>
          </cell>
          <cell r="F35">
            <v>0</v>
          </cell>
          <cell r="G35">
            <v>5043600</v>
          </cell>
          <cell r="H35">
            <v>0</v>
          </cell>
          <cell r="I35">
            <v>0</v>
          </cell>
          <cell r="J35">
            <v>-5043600</v>
          </cell>
        </row>
        <row r="36">
          <cell r="A36" t="str">
            <v>1-1-30-01-008  CHEQUE EN CARTERAS (PLAN DE PAGO CLIENTES)</v>
          </cell>
          <cell r="B36">
            <v>8654863</v>
          </cell>
          <cell r="C36">
            <v>15176130</v>
          </cell>
          <cell r="D36">
            <v>0</v>
          </cell>
          <cell r="E36">
            <v>6521267</v>
          </cell>
          <cell r="F36">
            <v>0</v>
          </cell>
          <cell r="G36">
            <v>6521267</v>
          </cell>
          <cell r="H36">
            <v>0</v>
          </cell>
          <cell r="I36">
            <v>0</v>
          </cell>
          <cell r="J36">
            <v>-6521267</v>
          </cell>
        </row>
        <row r="37">
          <cell r="A37" t="str">
            <v>1-1-40-01-006  CTA.CTE. AL PERSONAL</v>
          </cell>
          <cell r="B37">
            <v>0</v>
          </cell>
          <cell r="C37">
            <v>200000</v>
          </cell>
          <cell r="D37">
            <v>0</v>
          </cell>
          <cell r="E37">
            <v>200000</v>
          </cell>
          <cell r="F37">
            <v>0</v>
          </cell>
          <cell r="G37">
            <v>200000</v>
          </cell>
          <cell r="H37">
            <v>0</v>
          </cell>
          <cell r="I37">
            <v>0</v>
          </cell>
          <cell r="J37">
            <v>-200000</v>
          </cell>
        </row>
        <row r="38">
          <cell r="A38" t="str">
            <v>1-1-40-01-010  CTA X COBRAR INV.PRIME CAPITAL INTERNACIONAL (EX SEGOVIA SA)</v>
          </cell>
          <cell r="B38">
            <v>0</v>
          </cell>
          <cell r="C38">
            <v>8987373</v>
          </cell>
          <cell r="D38">
            <v>0</v>
          </cell>
          <cell r="E38">
            <v>8987373</v>
          </cell>
          <cell r="F38">
            <v>0</v>
          </cell>
          <cell r="G38">
            <v>8987373</v>
          </cell>
          <cell r="H38">
            <v>0</v>
          </cell>
          <cell r="I38">
            <v>0</v>
          </cell>
          <cell r="J38">
            <v>-8987373</v>
          </cell>
        </row>
        <row r="39">
          <cell r="A39" t="str">
            <v>1-1-40-01-011  PRESTAMO INVERSIONES GRAN DESIERTO</v>
          </cell>
          <cell r="B39">
            <v>1577127</v>
          </cell>
          <cell r="C39">
            <v>0</v>
          </cell>
          <cell r="D39">
            <v>1577127</v>
          </cell>
          <cell r="E39">
            <v>0</v>
          </cell>
          <cell r="F39">
            <v>1577127</v>
          </cell>
          <cell r="G39">
            <v>0</v>
          </cell>
          <cell r="H39">
            <v>0</v>
          </cell>
          <cell r="I39">
            <v>0</v>
          </cell>
          <cell r="J39">
            <v>1577127</v>
          </cell>
        </row>
        <row r="40">
          <cell r="A40" t="str">
            <v>1-1-40-01-012  MUTUOS POR COBRAR</v>
          </cell>
          <cell r="B40">
            <v>310340</v>
          </cell>
          <cell r="C40">
            <v>0</v>
          </cell>
          <cell r="D40">
            <v>310340</v>
          </cell>
          <cell r="E40">
            <v>0</v>
          </cell>
          <cell r="F40">
            <v>310340</v>
          </cell>
          <cell r="G40">
            <v>0</v>
          </cell>
          <cell r="H40">
            <v>0</v>
          </cell>
          <cell r="I40">
            <v>0</v>
          </cell>
          <cell r="J40">
            <v>310340</v>
          </cell>
        </row>
        <row r="41">
          <cell r="A41" t="str">
            <v>1-1-40-01-014  CTA X COBRAR ISF DOLAR</v>
          </cell>
          <cell r="B41">
            <v>0</v>
          </cell>
          <cell r="C41">
            <v>49236129</v>
          </cell>
          <cell r="D41">
            <v>0</v>
          </cell>
          <cell r="E41">
            <v>49236129</v>
          </cell>
          <cell r="F41">
            <v>0</v>
          </cell>
          <cell r="G41">
            <v>49236129</v>
          </cell>
          <cell r="H41">
            <v>0</v>
          </cell>
          <cell r="I41">
            <v>0</v>
          </cell>
          <cell r="J41">
            <v>-49236129</v>
          </cell>
        </row>
        <row r="42">
          <cell r="A42" t="str">
            <v>1-1-40-01-017  ANTICIPO PROVEEDOR 3</v>
          </cell>
          <cell r="B42">
            <v>308900</v>
          </cell>
          <cell r="C42">
            <v>31000</v>
          </cell>
          <cell r="D42">
            <v>277900</v>
          </cell>
          <cell r="E42">
            <v>0</v>
          </cell>
          <cell r="F42">
            <v>277900</v>
          </cell>
          <cell r="G42">
            <v>0</v>
          </cell>
          <cell r="H42">
            <v>0</v>
          </cell>
          <cell r="I42">
            <v>0</v>
          </cell>
          <cell r="J42">
            <v>277900</v>
          </cell>
        </row>
        <row r="43">
          <cell r="A43" t="str">
            <v>1-1-40-01-018  ANTICIPO HONORARIOS 3</v>
          </cell>
          <cell r="B43">
            <v>26000</v>
          </cell>
          <cell r="C43">
            <v>0</v>
          </cell>
          <cell r="D43">
            <v>26000</v>
          </cell>
          <cell r="E43">
            <v>0</v>
          </cell>
          <cell r="F43">
            <v>26000</v>
          </cell>
          <cell r="G43">
            <v>0</v>
          </cell>
          <cell r="H43">
            <v>0</v>
          </cell>
          <cell r="I43">
            <v>0</v>
          </cell>
          <cell r="J43">
            <v>26000</v>
          </cell>
        </row>
        <row r="44">
          <cell r="A44" t="str">
            <v>1-1-40-01-019  CTA X COBRAR ERIC WAGHORN VITAR</v>
          </cell>
          <cell r="B44">
            <v>350000</v>
          </cell>
          <cell r="C44">
            <v>0</v>
          </cell>
          <cell r="D44">
            <v>350000</v>
          </cell>
          <cell r="E44">
            <v>0</v>
          </cell>
          <cell r="F44">
            <v>350000</v>
          </cell>
          <cell r="G44">
            <v>0</v>
          </cell>
          <cell r="H44">
            <v>0</v>
          </cell>
          <cell r="I44">
            <v>0</v>
          </cell>
          <cell r="J44">
            <v>350000</v>
          </cell>
        </row>
        <row r="45">
          <cell r="A45" t="str">
            <v>1-1-40-01-020  ANTICIPO SUELDO (2)</v>
          </cell>
          <cell r="B45">
            <v>5500000</v>
          </cell>
          <cell r="C45">
            <v>5500000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A46" t="str">
            <v>1-1-40-01-024  MUTUOS POR COBRAR INVERSIONES EWA</v>
          </cell>
          <cell r="B46">
            <v>100335131</v>
          </cell>
          <cell r="C46">
            <v>0</v>
          </cell>
          <cell r="D46">
            <v>100335131</v>
          </cell>
          <cell r="E46">
            <v>0</v>
          </cell>
          <cell r="F46">
            <v>100335131</v>
          </cell>
          <cell r="G46">
            <v>0</v>
          </cell>
          <cell r="H46">
            <v>0</v>
          </cell>
          <cell r="I46">
            <v>0</v>
          </cell>
          <cell r="J46">
            <v>100335131</v>
          </cell>
        </row>
        <row r="47">
          <cell r="A47" t="str">
            <v>1-1-50-01-005  PAGARE POR COBRAR DOLE</v>
          </cell>
          <cell r="B47">
            <v>627915</v>
          </cell>
          <cell r="C47">
            <v>4827121</v>
          </cell>
          <cell r="D47">
            <v>0</v>
          </cell>
          <cell r="E47">
            <v>4199206</v>
          </cell>
          <cell r="F47">
            <v>0</v>
          </cell>
          <cell r="G47">
            <v>4199206</v>
          </cell>
          <cell r="H47">
            <v>0</v>
          </cell>
          <cell r="I47">
            <v>0</v>
          </cell>
          <cell r="J47">
            <v>-4199206</v>
          </cell>
        </row>
        <row r="48">
          <cell r="A48" t="str">
            <v>1-1-50-01-006  CTA, POR COBRAR DINAMITY</v>
          </cell>
          <cell r="B48">
            <v>308283</v>
          </cell>
          <cell r="C48">
            <v>0</v>
          </cell>
          <cell r="D48">
            <v>308283</v>
          </cell>
          <cell r="E48">
            <v>0</v>
          </cell>
          <cell r="F48">
            <v>308283</v>
          </cell>
          <cell r="G48">
            <v>0</v>
          </cell>
          <cell r="H48">
            <v>0</v>
          </cell>
          <cell r="I48">
            <v>0</v>
          </cell>
          <cell r="J48">
            <v>308283</v>
          </cell>
        </row>
        <row r="49">
          <cell r="A49" t="str">
            <v>1-1-50-01-007  PAGARES POR COBRAR INMOBILIARIA CUATRO</v>
          </cell>
          <cell r="B49">
            <v>200900</v>
          </cell>
          <cell r="C49">
            <v>3725887</v>
          </cell>
          <cell r="D49">
            <v>0</v>
          </cell>
          <cell r="E49">
            <v>3524987</v>
          </cell>
          <cell r="F49">
            <v>0</v>
          </cell>
          <cell r="G49">
            <v>3524987</v>
          </cell>
          <cell r="H49">
            <v>0</v>
          </cell>
          <cell r="I49">
            <v>0</v>
          </cell>
          <cell r="J49">
            <v>-3524987</v>
          </cell>
        </row>
        <row r="50">
          <cell r="A50" t="str">
            <v>1-1-50-01-008  CUENTA POR COBRAR INMOB VALDEPEÑAS SPA</v>
          </cell>
          <cell r="B50">
            <v>7458712</v>
          </cell>
          <cell r="C50">
            <v>0</v>
          </cell>
          <cell r="D50">
            <v>7458712</v>
          </cell>
          <cell r="E50">
            <v>0</v>
          </cell>
          <cell r="F50">
            <v>7458712</v>
          </cell>
          <cell r="G50">
            <v>0</v>
          </cell>
          <cell r="H50">
            <v>0</v>
          </cell>
          <cell r="I50">
            <v>0</v>
          </cell>
          <cell r="J50">
            <v>7458712</v>
          </cell>
        </row>
        <row r="51">
          <cell r="A51" t="str">
            <v>1-1-50-01-009  CUENTA POR COBRAR INMOB LIRCAY SPA</v>
          </cell>
          <cell r="B51">
            <v>3713377</v>
          </cell>
          <cell r="C51">
            <v>0</v>
          </cell>
          <cell r="D51">
            <v>3713377</v>
          </cell>
          <cell r="E51">
            <v>0</v>
          </cell>
          <cell r="F51">
            <v>3713377</v>
          </cell>
          <cell r="G51">
            <v>0</v>
          </cell>
          <cell r="H51">
            <v>0</v>
          </cell>
          <cell r="I51">
            <v>0</v>
          </cell>
          <cell r="J51">
            <v>3713377</v>
          </cell>
        </row>
        <row r="52">
          <cell r="A52" t="str">
            <v>1-1-60-01-001  INT. DIF. LEASING VALPO- C/P</v>
          </cell>
          <cell r="B52">
            <v>0</v>
          </cell>
          <cell r="C52">
            <v>234384</v>
          </cell>
          <cell r="D52">
            <v>0</v>
          </cell>
          <cell r="E52">
            <v>234384</v>
          </cell>
          <cell r="F52">
            <v>0</v>
          </cell>
          <cell r="G52">
            <v>234384</v>
          </cell>
          <cell r="H52">
            <v>0</v>
          </cell>
          <cell r="I52">
            <v>0</v>
          </cell>
          <cell r="J52">
            <v>-234384</v>
          </cell>
        </row>
        <row r="53">
          <cell r="A53" t="str">
            <v>1-1-60-01-002  INT. DIF. LEASING CAUQUENES C/P</v>
          </cell>
          <cell r="B53">
            <v>0</v>
          </cell>
          <cell r="C53">
            <v>182975</v>
          </cell>
          <cell r="D53">
            <v>0</v>
          </cell>
          <cell r="E53">
            <v>182975</v>
          </cell>
          <cell r="F53">
            <v>0</v>
          </cell>
          <cell r="G53">
            <v>182975</v>
          </cell>
          <cell r="H53">
            <v>0</v>
          </cell>
          <cell r="I53">
            <v>0</v>
          </cell>
          <cell r="J53">
            <v>-182975</v>
          </cell>
        </row>
        <row r="54">
          <cell r="A54" t="str">
            <v>1-1-60-01-003  INTERES DIF.LEASING-OUTLET C/P</v>
          </cell>
          <cell r="B54">
            <v>0</v>
          </cell>
          <cell r="C54">
            <v>630163</v>
          </cell>
          <cell r="D54">
            <v>0</v>
          </cell>
          <cell r="E54">
            <v>630163</v>
          </cell>
          <cell r="F54">
            <v>0</v>
          </cell>
          <cell r="G54">
            <v>630163</v>
          </cell>
          <cell r="H54">
            <v>0</v>
          </cell>
          <cell r="I54">
            <v>0</v>
          </cell>
          <cell r="J54">
            <v>-630163</v>
          </cell>
        </row>
        <row r="55">
          <cell r="A55" t="str">
            <v>1-1-60-01-011  INT.DIF.LEASING VALPO L/P</v>
          </cell>
          <cell r="B55">
            <v>0</v>
          </cell>
          <cell r="C55">
            <v>2097425</v>
          </cell>
          <cell r="D55">
            <v>0</v>
          </cell>
          <cell r="E55">
            <v>2097425</v>
          </cell>
          <cell r="F55">
            <v>0</v>
          </cell>
          <cell r="G55">
            <v>2097425</v>
          </cell>
          <cell r="H55">
            <v>0</v>
          </cell>
          <cell r="I55">
            <v>0</v>
          </cell>
          <cell r="J55">
            <v>-2097425</v>
          </cell>
        </row>
        <row r="56">
          <cell r="A56" t="str">
            <v>1-1-60-01-012  INT.DIF.LEASING CAUQUENES L/P</v>
          </cell>
          <cell r="B56">
            <v>0</v>
          </cell>
          <cell r="C56">
            <v>1678128</v>
          </cell>
          <cell r="D56">
            <v>0</v>
          </cell>
          <cell r="E56">
            <v>1678128</v>
          </cell>
          <cell r="F56">
            <v>0</v>
          </cell>
          <cell r="G56">
            <v>1678128</v>
          </cell>
          <cell r="H56">
            <v>0</v>
          </cell>
          <cell r="I56">
            <v>0</v>
          </cell>
          <cell r="J56">
            <v>-1678128</v>
          </cell>
        </row>
        <row r="57">
          <cell r="A57" t="str">
            <v>1-1-60-01-013  INTERES DIF. LEASING OUTLET-L/P</v>
          </cell>
          <cell r="B57">
            <v>0</v>
          </cell>
          <cell r="C57">
            <v>37989472</v>
          </cell>
          <cell r="D57">
            <v>0</v>
          </cell>
          <cell r="E57">
            <v>37989472</v>
          </cell>
          <cell r="F57">
            <v>0</v>
          </cell>
          <cell r="G57">
            <v>37989472</v>
          </cell>
          <cell r="H57">
            <v>0</v>
          </cell>
          <cell r="I57">
            <v>0</v>
          </cell>
          <cell r="J57">
            <v>-37989472</v>
          </cell>
        </row>
        <row r="58">
          <cell r="A58" t="str">
            <v>1-1-60-01-014  INTERESES DIF VEHICULOS LEASING CP</v>
          </cell>
          <cell r="B58">
            <v>0</v>
          </cell>
          <cell r="C58">
            <v>1313484</v>
          </cell>
          <cell r="D58">
            <v>0</v>
          </cell>
          <cell r="E58">
            <v>1313484</v>
          </cell>
          <cell r="F58">
            <v>0</v>
          </cell>
          <cell r="G58">
            <v>1313484</v>
          </cell>
          <cell r="H58">
            <v>0</v>
          </cell>
          <cell r="I58">
            <v>0</v>
          </cell>
          <cell r="J58">
            <v>-1313484</v>
          </cell>
        </row>
        <row r="59">
          <cell r="A59" t="str">
            <v>1-1-60-01-015  INTERESES DIF VEHICULOS LEASING LP</v>
          </cell>
          <cell r="B59">
            <v>0</v>
          </cell>
          <cell r="C59">
            <v>32296</v>
          </cell>
          <cell r="D59">
            <v>0</v>
          </cell>
          <cell r="E59">
            <v>32296</v>
          </cell>
          <cell r="F59">
            <v>0</v>
          </cell>
          <cell r="G59">
            <v>32296</v>
          </cell>
          <cell r="H59">
            <v>0</v>
          </cell>
          <cell r="I59">
            <v>0</v>
          </cell>
          <cell r="J59">
            <v>-32296</v>
          </cell>
        </row>
        <row r="60">
          <cell r="A60" t="str">
            <v>1-1-60-01-016  INTER DIF  HIPOTECARIO LOS MORROS CP</v>
          </cell>
          <cell r="B60">
            <v>0</v>
          </cell>
          <cell r="C60">
            <v>350235</v>
          </cell>
          <cell r="D60">
            <v>0</v>
          </cell>
          <cell r="E60">
            <v>350235</v>
          </cell>
          <cell r="F60">
            <v>0</v>
          </cell>
          <cell r="G60">
            <v>350235</v>
          </cell>
          <cell r="H60">
            <v>0</v>
          </cell>
          <cell r="I60">
            <v>0</v>
          </cell>
          <cell r="J60">
            <v>-350235</v>
          </cell>
        </row>
        <row r="61">
          <cell r="A61" t="str">
            <v>1-1-60-01-017  INTER DIF HIPOTECARIO LOS MORROS LP</v>
          </cell>
          <cell r="B61">
            <v>0</v>
          </cell>
          <cell r="C61">
            <v>11047188</v>
          </cell>
          <cell r="D61">
            <v>0</v>
          </cell>
          <cell r="E61">
            <v>11047188</v>
          </cell>
          <cell r="F61">
            <v>0</v>
          </cell>
          <cell r="G61">
            <v>11047188</v>
          </cell>
          <cell r="H61">
            <v>0</v>
          </cell>
          <cell r="I61">
            <v>0</v>
          </cell>
          <cell r="J61">
            <v>-11047188</v>
          </cell>
        </row>
        <row r="62">
          <cell r="A62" t="str">
            <v>1-1-60-01-018  INTERESES DIF INTERNACIONAL CP M$600</v>
          </cell>
          <cell r="B62">
            <v>0</v>
          </cell>
          <cell r="C62">
            <v>1963476</v>
          </cell>
          <cell r="D62">
            <v>0</v>
          </cell>
          <cell r="E62">
            <v>1963476</v>
          </cell>
          <cell r="F62">
            <v>0</v>
          </cell>
          <cell r="G62">
            <v>1963476</v>
          </cell>
          <cell r="H62">
            <v>0</v>
          </cell>
          <cell r="I62">
            <v>0</v>
          </cell>
          <cell r="J62">
            <v>-1963476</v>
          </cell>
        </row>
        <row r="63">
          <cell r="A63" t="str">
            <v>1-1-60-01-019  INTERESES DIF INTERNACIONAL LP M$600</v>
          </cell>
          <cell r="B63">
            <v>0</v>
          </cell>
          <cell r="C63">
            <v>355273</v>
          </cell>
          <cell r="D63">
            <v>0</v>
          </cell>
          <cell r="E63">
            <v>355273</v>
          </cell>
          <cell r="F63">
            <v>0</v>
          </cell>
          <cell r="G63">
            <v>355273</v>
          </cell>
          <cell r="H63">
            <v>0</v>
          </cell>
          <cell r="I63">
            <v>0</v>
          </cell>
          <cell r="J63">
            <v>-355273</v>
          </cell>
        </row>
        <row r="64">
          <cell r="A64" t="str">
            <v>1-1-60-01-020  INTERESES DIF INTERNACIONAL CP M$1.000</v>
          </cell>
          <cell r="B64">
            <v>0</v>
          </cell>
          <cell r="C64">
            <v>695270</v>
          </cell>
          <cell r="D64">
            <v>0</v>
          </cell>
          <cell r="E64">
            <v>695270</v>
          </cell>
          <cell r="F64">
            <v>0</v>
          </cell>
          <cell r="G64">
            <v>695270</v>
          </cell>
          <cell r="H64">
            <v>0</v>
          </cell>
          <cell r="I64">
            <v>0</v>
          </cell>
          <cell r="J64">
            <v>-695270</v>
          </cell>
        </row>
        <row r="65">
          <cell r="A65" t="str">
            <v>1-1-60-01-021  INTERESES DIF INTERNACIONAL LP M$1.000</v>
          </cell>
          <cell r="B65">
            <v>0</v>
          </cell>
          <cell r="C65">
            <v>5353496</v>
          </cell>
          <cell r="D65">
            <v>0</v>
          </cell>
          <cell r="E65">
            <v>5353496</v>
          </cell>
          <cell r="F65">
            <v>0</v>
          </cell>
          <cell r="G65">
            <v>5353496</v>
          </cell>
          <cell r="H65">
            <v>0</v>
          </cell>
          <cell r="I65">
            <v>0</v>
          </cell>
          <cell r="J65">
            <v>-5353496</v>
          </cell>
        </row>
        <row r="66">
          <cell r="A66" t="str">
            <v>1-1-70-01-001  IVA CREDITO FISCAL</v>
          </cell>
          <cell r="B66">
            <v>117173623</v>
          </cell>
          <cell r="C66">
            <v>117173623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1-1-70-01-010  INTER. DIF. LEASING 1 SUR 1990 CP</v>
          </cell>
          <cell r="B67">
            <v>0</v>
          </cell>
          <cell r="C67">
            <v>172547</v>
          </cell>
          <cell r="D67">
            <v>0</v>
          </cell>
          <cell r="E67">
            <v>172547</v>
          </cell>
          <cell r="F67">
            <v>0</v>
          </cell>
          <cell r="G67">
            <v>172547</v>
          </cell>
          <cell r="H67">
            <v>0</v>
          </cell>
          <cell r="I67">
            <v>0</v>
          </cell>
          <cell r="J67">
            <v>-172547</v>
          </cell>
        </row>
        <row r="68">
          <cell r="A68" t="str">
            <v>1-1-70-01-011  INTER. DIF. LEASING SAN JAVIER CP</v>
          </cell>
          <cell r="B68">
            <v>0</v>
          </cell>
          <cell r="C68">
            <v>148364</v>
          </cell>
          <cell r="D68">
            <v>0</v>
          </cell>
          <cell r="E68">
            <v>148364</v>
          </cell>
          <cell r="F68">
            <v>0</v>
          </cell>
          <cell r="G68">
            <v>148364</v>
          </cell>
          <cell r="H68">
            <v>0</v>
          </cell>
          <cell r="I68">
            <v>0</v>
          </cell>
          <cell r="J68">
            <v>-148364</v>
          </cell>
        </row>
        <row r="69">
          <cell r="A69" t="str">
            <v>1-1-70-01-012  INTER. DIF. LEASING COLIN 0240 CP</v>
          </cell>
          <cell r="B69">
            <v>0</v>
          </cell>
          <cell r="C69">
            <v>279242</v>
          </cell>
          <cell r="D69">
            <v>0</v>
          </cell>
          <cell r="E69">
            <v>279242</v>
          </cell>
          <cell r="F69">
            <v>0</v>
          </cell>
          <cell r="G69">
            <v>279242</v>
          </cell>
          <cell r="H69">
            <v>0</v>
          </cell>
          <cell r="I69">
            <v>0</v>
          </cell>
          <cell r="J69">
            <v>-279242</v>
          </cell>
        </row>
        <row r="70">
          <cell r="A70" t="str">
            <v>1-1-70-01-013  INTER. DIF. LEASING C. SATELITE CP</v>
          </cell>
          <cell r="B70">
            <v>0</v>
          </cell>
          <cell r="C70">
            <v>410534</v>
          </cell>
          <cell r="D70">
            <v>0</v>
          </cell>
          <cell r="E70">
            <v>410534</v>
          </cell>
          <cell r="F70">
            <v>0</v>
          </cell>
          <cell r="G70">
            <v>410534</v>
          </cell>
          <cell r="H70">
            <v>0</v>
          </cell>
          <cell r="I70">
            <v>0</v>
          </cell>
          <cell r="J70">
            <v>-410534</v>
          </cell>
        </row>
        <row r="71">
          <cell r="A71" t="str">
            <v>1-1-70-01-014  INTER. DIF. LEASING 11 ORIENTE CP</v>
          </cell>
          <cell r="B71">
            <v>0</v>
          </cell>
          <cell r="C71">
            <v>454270</v>
          </cell>
          <cell r="D71">
            <v>0</v>
          </cell>
          <cell r="E71">
            <v>454270</v>
          </cell>
          <cell r="F71">
            <v>0</v>
          </cell>
          <cell r="G71">
            <v>454270</v>
          </cell>
          <cell r="H71">
            <v>0</v>
          </cell>
          <cell r="I71">
            <v>0</v>
          </cell>
          <cell r="J71">
            <v>-454270</v>
          </cell>
        </row>
        <row r="72">
          <cell r="A72" t="str">
            <v>1-1-70-01-015  INTER. DIF. LEASING MAIPU 556 CP</v>
          </cell>
          <cell r="B72">
            <v>0</v>
          </cell>
          <cell r="C72">
            <v>402043</v>
          </cell>
          <cell r="D72">
            <v>0</v>
          </cell>
          <cell r="E72">
            <v>402043</v>
          </cell>
          <cell r="F72">
            <v>0</v>
          </cell>
          <cell r="G72">
            <v>402043</v>
          </cell>
          <cell r="H72">
            <v>0</v>
          </cell>
          <cell r="I72">
            <v>0</v>
          </cell>
          <cell r="J72">
            <v>-402043</v>
          </cell>
        </row>
        <row r="73">
          <cell r="A73" t="str">
            <v>1-1-70-01-016  INTER. DIF. LEASING BRASIL 648 CP</v>
          </cell>
          <cell r="B73">
            <v>0</v>
          </cell>
          <cell r="C73">
            <v>308233</v>
          </cell>
          <cell r="D73">
            <v>0</v>
          </cell>
          <cell r="E73">
            <v>308233</v>
          </cell>
          <cell r="F73">
            <v>0</v>
          </cell>
          <cell r="G73">
            <v>308233</v>
          </cell>
          <cell r="H73">
            <v>0</v>
          </cell>
          <cell r="I73">
            <v>0</v>
          </cell>
          <cell r="J73">
            <v>-308233</v>
          </cell>
        </row>
        <row r="74">
          <cell r="A74" t="str">
            <v>1-1-70-01-017  INTER. DIF. LEASING VIAL 224 CP</v>
          </cell>
          <cell r="B74">
            <v>0</v>
          </cell>
          <cell r="C74">
            <v>368540</v>
          </cell>
          <cell r="D74">
            <v>0</v>
          </cell>
          <cell r="E74">
            <v>368540</v>
          </cell>
          <cell r="F74">
            <v>0</v>
          </cell>
          <cell r="G74">
            <v>368540</v>
          </cell>
          <cell r="H74">
            <v>0</v>
          </cell>
          <cell r="I74">
            <v>0</v>
          </cell>
          <cell r="J74">
            <v>-368540</v>
          </cell>
        </row>
        <row r="75">
          <cell r="A75" t="str">
            <v>1-1-70-01-018  INTER. DIF. LEASING TALCA COLIN CP</v>
          </cell>
          <cell r="B75">
            <v>0</v>
          </cell>
          <cell r="C75">
            <v>3801875</v>
          </cell>
          <cell r="D75">
            <v>0</v>
          </cell>
          <cell r="E75">
            <v>3801875</v>
          </cell>
          <cell r="F75">
            <v>0</v>
          </cell>
          <cell r="G75">
            <v>3801875</v>
          </cell>
          <cell r="H75">
            <v>0</v>
          </cell>
          <cell r="I75">
            <v>0</v>
          </cell>
          <cell r="J75">
            <v>-3801875</v>
          </cell>
        </row>
        <row r="76">
          <cell r="A76" t="str">
            <v>1-1-70-01-019  INTER. DIF. HIPOTECARIO CP</v>
          </cell>
          <cell r="B76">
            <v>0</v>
          </cell>
          <cell r="C76">
            <v>581174</v>
          </cell>
          <cell r="D76">
            <v>0</v>
          </cell>
          <cell r="E76">
            <v>581174</v>
          </cell>
          <cell r="F76">
            <v>0</v>
          </cell>
          <cell r="G76">
            <v>581174</v>
          </cell>
          <cell r="H76">
            <v>0</v>
          </cell>
          <cell r="I76">
            <v>0</v>
          </cell>
          <cell r="J76">
            <v>-581174</v>
          </cell>
        </row>
        <row r="77">
          <cell r="A77" t="str">
            <v>1-1-70-01-025  INTER. DIF. LEASING 11 ORIENTE LP</v>
          </cell>
          <cell r="B77">
            <v>0</v>
          </cell>
          <cell r="C77">
            <v>158721</v>
          </cell>
          <cell r="D77">
            <v>0</v>
          </cell>
          <cell r="E77">
            <v>158721</v>
          </cell>
          <cell r="F77">
            <v>0</v>
          </cell>
          <cell r="G77">
            <v>158721</v>
          </cell>
          <cell r="H77">
            <v>0</v>
          </cell>
          <cell r="I77">
            <v>0</v>
          </cell>
          <cell r="J77">
            <v>-158721</v>
          </cell>
        </row>
        <row r="78">
          <cell r="A78" t="str">
            <v>1-1-70-01-026  INTER. DIF. LEASING MAIPU 556 LP</v>
          </cell>
          <cell r="B78">
            <v>0</v>
          </cell>
          <cell r="C78">
            <v>140473</v>
          </cell>
          <cell r="D78">
            <v>0</v>
          </cell>
          <cell r="E78">
            <v>140473</v>
          </cell>
          <cell r="F78">
            <v>0</v>
          </cell>
          <cell r="G78">
            <v>140473</v>
          </cell>
          <cell r="H78">
            <v>0</v>
          </cell>
          <cell r="I78">
            <v>0</v>
          </cell>
          <cell r="J78">
            <v>-140473</v>
          </cell>
        </row>
        <row r="79">
          <cell r="A79" t="str">
            <v>1-1-70-01-027  INTER. DIF. LEASING BRASIL 648 LP</v>
          </cell>
          <cell r="B79">
            <v>0</v>
          </cell>
          <cell r="C79">
            <v>107696</v>
          </cell>
          <cell r="D79">
            <v>0</v>
          </cell>
          <cell r="E79">
            <v>107696</v>
          </cell>
          <cell r="F79">
            <v>0</v>
          </cell>
          <cell r="G79">
            <v>107696</v>
          </cell>
          <cell r="H79">
            <v>0</v>
          </cell>
          <cell r="I79">
            <v>0</v>
          </cell>
          <cell r="J79">
            <v>-107696</v>
          </cell>
        </row>
        <row r="80">
          <cell r="A80" t="str">
            <v>1-1-70-01-028  INTER. DIF. LEASING VIAL 224 LP</v>
          </cell>
          <cell r="B80">
            <v>0</v>
          </cell>
          <cell r="C80">
            <v>128767</v>
          </cell>
          <cell r="D80">
            <v>0</v>
          </cell>
          <cell r="E80">
            <v>128767</v>
          </cell>
          <cell r="F80">
            <v>0</v>
          </cell>
          <cell r="G80">
            <v>128767</v>
          </cell>
          <cell r="H80">
            <v>0</v>
          </cell>
          <cell r="I80">
            <v>0</v>
          </cell>
          <cell r="J80">
            <v>-128767</v>
          </cell>
        </row>
        <row r="81">
          <cell r="A81" t="str">
            <v>1-1-70-01-029  INTER. DIF. LEASING TALCA COLIN LP</v>
          </cell>
          <cell r="B81">
            <v>0</v>
          </cell>
          <cell r="C81">
            <v>4993318</v>
          </cell>
          <cell r="D81">
            <v>0</v>
          </cell>
          <cell r="E81">
            <v>4993318</v>
          </cell>
          <cell r="F81">
            <v>0</v>
          </cell>
          <cell r="G81">
            <v>4993318</v>
          </cell>
          <cell r="H81">
            <v>0</v>
          </cell>
          <cell r="I81">
            <v>0</v>
          </cell>
          <cell r="J81">
            <v>-4993318</v>
          </cell>
        </row>
        <row r="82">
          <cell r="A82" t="str">
            <v>1-1-70-01-031  INTERESES POR COBRAR MUTUOS EWA</v>
          </cell>
          <cell r="B82">
            <v>82425</v>
          </cell>
          <cell r="C82">
            <v>0</v>
          </cell>
          <cell r="D82">
            <v>82425</v>
          </cell>
          <cell r="E82">
            <v>0</v>
          </cell>
          <cell r="F82">
            <v>82425</v>
          </cell>
          <cell r="G82">
            <v>0</v>
          </cell>
          <cell r="H82">
            <v>0</v>
          </cell>
          <cell r="I82">
            <v>0</v>
          </cell>
          <cell r="J82">
            <v>82425</v>
          </cell>
        </row>
        <row r="83">
          <cell r="A83" t="str">
            <v>1-1-70-01-032  INTERESES MUTUOS POR COBRAR INSF</v>
          </cell>
          <cell r="B83">
            <v>12740</v>
          </cell>
          <cell r="C83">
            <v>0</v>
          </cell>
          <cell r="D83">
            <v>12740</v>
          </cell>
          <cell r="E83">
            <v>0</v>
          </cell>
          <cell r="F83">
            <v>12740</v>
          </cell>
          <cell r="G83">
            <v>0</v>
          </cell>
          <cell r="H83">
            <v>0</v>
          </cell>
          <cell r="I83">
            <v>0</v>
          </cell>
          <cell r="J83">
            <v>12740</v>
          </cell>
        </row>
        <row r="84">
          <cell r="A84" t="str">
            <v>1-2-01-05-021  INMUEBLE CAMPO LINDO</v>
          </cell>
          <cell r="B84">
            <v>1410567</v>
          </cell>
          <cell r="C84">
            <v>0</v>
          </cell>
          <cell r="D84">
            <v>1410567</v>
          </cell>
          <cell r="E84">
            <v>0</v>
          </cell>
          <cell r="F84">
            <v>1410567</v>
          </cell>
          <cell r="G84">
            <v>0</v>
          </cell>
          <cell r="H84">
            <v>0</v>
          </cell>
          <cell r="I84">
            <v>0</v>
          </cell>
          <cell r="J84">
            <v>1410567</v>
          </cell>
        </row>
        <row r="85">
          <cell r="A85" t="str">
            <v>1-2-01-08-010  DEPREC. ACUM.  ACTIVOS EN LEASING</v>
          </cell>
          <cell r="B85">
            <v>550576673</v>
          </cell>
          <cell r="C85">
            <v>611751862</v>
          </cell>
          <cell r="D85">
            <v>0</v>
          </cell>
          <cell r="E85">
            <v>61175189</v>
          </cell>
          <cell r="F85">
            <v>0</v>
          </cell>
          <cell r="G85">
            <v>61175189</v>
          </cell>
          <cell r="H85">
            <v>0</v>
          </cell>
          <cell r="I85">
            <v>0</v>
          </cell>
          <cell r="J85">
            <v>-61175189</v>
          </cell>
        </row>
        <row r="86">
          <cell r="A86" t="str">
            <v>1-2-02-01-001  DEP. ACUM. MUEBLES Y UTILES</v>
          </cell>
          <cell r="B86">
            <v>0</v>
          </cell>
          <cell r="C86">
            <v>428442</v>
          </cell>
          <cell r="D86">
            <v>0</v>
          </cell>
          <cell r="E86">
            <v>428442</v>
          </cell>
          <cell r="F86">
            <v>0</v>
          </cell>
          <cell r="G86">
            <v>428442</v>
          </cell>
          <cell r="H86">
            <v>0</v>
          </cell>
          <cell r="I86">
            <v>0</v>
          </cell>
          <cell r="J86">
            <v>-428442</v>
          </cell>
        </row>
        <row r="87">
          <cell r="A87" t="str">
            <v>1-2-02-02-001  DEP.ACUM. INSTALACIONES</v>
          </cell>
          <cell r="B87">
            <v>0</v>
          </cell>
          <cell r="C87">
            <v>14008</v>
          </cell>
          <cell r="D87">
            <v>0</v>
          </cell>
          <cell r="E87">
            <v>14008</v>
          </cell>
          <cell r="F87">
            <v>0</v>
          </cell>
          <cell r="G87">
            <v>14008</v>
          </cell>
          <cell r="H87">
            <v>0</v>
          </cell>
          <cell r="I87">
            <v>0</v>
          </cell>
          <cell r="J87">
            <v>-14008</v>
          </cell>
        </row>
        <row r="88">
          <cell r="A88" t="str">
            <v>1-2-02-05-001  DEP. ACUM. CONSTRUCCION PARRAL</v>
          </cell>
          <cell r="B88">
            <v>0</v>
          </cell>
          <cell r="C88">
            <v>390558</v>
          </cell>
          <cell r="D88">
            <v>0</v>
          </cell>
          <cell r="E88">
            <v>390558</v>
          </cell>
          <cell r="F88">
            <v>0</v>
          </cell>
          <cell r="G88">
            <v>390558</v>
          </cell>
          <cell r="H88">
            <v>0</v>
          </cell>
          <cell r="I88">
            <v>0</v>
          </cell>
          <cell r="J88">
            <v>-390558</v>
          </cell>
        </row>
        <row r="89">
          <cell r="A89" t="str">
            <v>1-2-02-05-002  DEP. ACUM. CONSTRUCCION LINARES</v>
          </cell>
          <cell r="B89">
            <v>0</v>
          </cell>
          <cell r="C89">
            <v>418936</v>
          </cell>
          <cell r="D89">
            <v>0</v>
          </cell>
          <cell r="E89">
            <v>418936</v>
          </cell>
          <cell r="F89">
            <v>0</v>
          </cell>
          <cell r="G89">
            <v>418936</v>
          </cell>
          <cell r="H89">
            <v>0</v>
          </cell>
          <cell r="I89">
            <v>0</v>
          </cell>
          <cell r="J89">
            <v>-418936</v>
          </cell>
        </row>
        <row r="90">
          <cell r="A90" t="str">
            <v>1-2-02-05-003  DEP. ACUM. CONSTRUCCION TALCA</v>
          </cell>
          <cell r="B90">
            <v>0</v>
          </cell>
          <cell r="C90">
            <v>1760094</v>
          </cell>
          <cell r="D90">
            <v>0</v>
          </cell>
          <cell r="E90">
            <v>1760094</v>
          </cell>
          <cell r="F90">
            <v>0</v>
          </cell>
          <cell r="G90">
            <v>1760094</v>
          </cell>
          <cell r="H90">
            <v>0</v>
          </cell>
          <cell r="I90">
            <v>0</v>
          </cell>
          <cell r="J90">
            <v>-1760094</v>
          </cell>
        </row>
        <row r="91">
          <cell r="A91" t="str">
            <v>1-2-02-05-004  DEP. ACUM. CONSTRUCCION RENCA</v>
          </cell>
          <cell r="B91">
            <v>0</v>
          </cell>
          <cell r="C91">
            <v>1099817</v>
          </cell>
          <cell r="D91">
            <v>0</v>
          </cell>
          <cell r="E91">
            <v>1099817</v>
          </cell>
          <cell r="F91">
            <v>0</v>
          </cell>
          <cell r="G91">
            <v>1099817</v>
          </cell>
          <cell r="H91">
            <v>0</v>
          </cell>
          <cell r="I91">
            <v>0</v>
          </cell>
          <cell r="J91">
            <v>-1099817</v>
          </cell>
        </row>
        <row r="92">
          <cell r="A92" t="str">
            <v>1-2-02-05-005  DEP. ACUM. CONSTRUCCION VICENTE VALDES</v>
          </cell>
          <cell r="B92">
            <v>0</v>
          </cell>
          <cell r="C92">
            <v>4413715</v>
          </cell>
          <cell r="D92">
            <v>0</v>
          </cell>
          <cell r="E92">
            <v>4413715</v>
          </cell>
          <cell r="F92">
            <v>0</v>
          </cell>
          <cell r="G92">
            <v>4413715</v>
          </cell>
          <cell r="H92">
            <v>0</v>
          </cell>
          <cell r="I92">
            <v>0</v>
          </cell>
          <cell r="J92">
            <v>-4413715</v>
          </cell>
        </row>
        <row r="93">
          <cell r="A93" t="str">
            <v>1-2-02-05-008  DEP. ACUM. CONSTRUCCION LOS MORROS</v>
          </cell>
          <cell r="B93">
            <v>0</v>
          </cell>
          <cell r="C93">
            <v>2418934</v>
          </cell>
          <cell r="D93">
            <v>0</v>
          </cell>
          <cell r="E93">
            <v>2418934</v>
          </cell>
          <cell r="F93">
            <v>0</v>
          </cell>
          <cell r="G93">
            <v>2418934</v>
          </cell>
          <cell r="H93">
            <v>0</v>
          </cell>
          <cell r="I93">
            <v>0</v>
          </cell>
          <cell r="J93">
            <v>-2418934</v>
          </cell>
        </row>
        <row r="94">
          <cell r="A94" t="str">
            <v>1-2-02-05-009  DEP. ACUM. CONSTRUCCION TALCA COLIN</v>
          </cell>
          <cell r="B94">
            <v>0</v>
          </cell>
          <cell r="C94">
            <v>4189945</v>
          </cell>
          <cell r="D94">
            <v>0</v>
          </cell>
          <cell r="E94">
            <v>4189945</v>
          </cell>
          <cell r="F94">
            <v>0</v>
          </cell>
          <cell r="G94">
            <v>4189945</v>
          </cell>
          <cell r="H94">
            <v>0</v>
          </cell>
          <cell r="I94">
            <v>0</v>
          </cell>
          <cell r="J94">
            <v>-4189945</v>
          </cell>
        </row>
        <row r="95">
          <cell r="A95" t="str">
            <v>1-2-02-05-010  DEP. ACUM. CONSTRUCCION TALAGANTE</v>
          </cell>
          <cell r="B95">
            <v>0</v>
          </cell>
          <cell r="C95">
            <v>1964956</v>
          </cell>
          <cell r="D95">
            <v>0</v>
          </cell>
          <cell r="E95">
            <v>1964956</v>
          </cell>
          <cell r="F95">
            <v>0</v>
          </cell>
          <cell r="G95">
            <v>1964956</v>
          </cell>
          <cell r="H95">
            <v>0</v>
          </cell>
          <cell r="I95">
            <v>0</v>
          </cell>
          <cell r="J95">
            <v>-1964956</v>
          </cell>
        </row>
        <row r="96">
          <cell r="A96" t="str">
            <v>1-2-02-05-011  DEP. ACUM. CONSTRUCCION J. ESPINOZA</v>
          </cell>
          <cell r="B96">
            <v>0</v>
          </cell>
          <cell r="C96">
            <v>1843614</v>
          </cell>
          <cell r="D96">
            <v>0</v>
          </cell>
          <cell r="E96">
            <v>1843614</v>
          </cell>
          <cell r="F96">
            <v>0</v>
          </cell>
          <cell r="G96">
            <v>1843614</v>
          </cell>
          <cell r="H96">
            <v>0</v>
          </cell>
          <cell r="I96">
            <v>0</v>
          </cell>
          <cell r="J96">
            <v>-1843614</v>
          </cell>
        </row>
        <row r="97">
          <cell r="A97" t="str">
            <v>1-2-02-05-019  DEPREC. ACUM. REÑACA NORTE</v>
          </cell>
          <cell r="B97">
            <v>0</v>
          </cell>
          <cell r="C97">
            <v>337009</v>
          </cell>
          <cell r="D97">
            <v>0</v>
          </cell>
          <cell r="E97">
            <v>337009</v>
          </cell>
          <cell r="F97">
            <v>0</v>
          </cell>
          <cell r="G97">
            <v>337009</v>
          </cell>
          <cell r="H97">
            <v>0</v>
          </cell>
          <cell r="I97">
            <v>0</v>
          </cell>
          <cell r="J97">
            <v>-337009</v>
          </cell>
        </row>
        <row r="98">
          <cell r="A98" t="str">
            <v>1-2-02-05-021  DEPRECACUM. PROY.GIMNASIO LINARES</v>
          </cell>
          <cell r="B98">
            <v>0</v>
          </cell>
          <cell r="C98">
            <v>2553234</v>
          </cell>
          <cell r="D98">
            <v>0</v>
          </cell>
          <cell r="E98">
            <v>2553234</v>
          </cell>
          <cell r="F98">
            <v>0</v>
          </cell>
          <cell r="G98">
            <v>2553234</v>
          </cell>
          <cell r="H98">
            <v>0</v>
          </cell>
          <cell r="I98">
            <v>0</v>
          </cell>
          <cell r="J98">
            <v>-2553234</v>
          </cell>
        </row>
        <row r="99">
          <cell r="A99" t="str">
            <v>1-2-02-05-027  DEP. ACUM. INM PELLUHUE</v>
          </cell>
          <cell r="B99">
            <v>0</v>
          </cell>
          <cell r="C99">
            <v>232907</v>
          </cell>
          <cell r="D99">
            <v>0</v>
          </cell>
          <cell r="E99">
            <v>232907</v>
          </cell>
          <cell r="F99">
            <v>0</v>
          </cell>
          <cell r="G99">
            <v>232907</v>
          </cell>
          <cell r="H99">
            <v>0</v>
          </cell>
          <cell r="I99">
            <v>0</v>
          </cell>
          <cell r="J99">
            <v>-232907</v>
          </cell>
        </row>
        <row r="100">
          <cell r="A100" t="str">
            <v>1-2-02-05-028  DEP. ACUM. INM. LOS MAITENES</v>
          </cell>
          <cell r="B100">
            <v>0</v>
          </cell>
          <cell r="C100">
            <v>2327995</v>
          </cell>
          <cell r="D100">
            <v>0</v>
          </cell>
          <cell r="E100">
            <v>2327995</v>
          </cell>
          <cell r="F100">
            <v>0</v>
          </cell>
          <cell r="G100">
            <v>2327995</v>
          </cell>
          <cell r="H100">
            <v>0</v>
          </cell>
          <cell r="I100">
            <v>0</v>
          </cell>
          <cell r="J100">
            <v>-2327995</v>
          </cell>
        </row>
        <row r="101">
          <cell r="A101" t="str">
            <v>1-2-02-05-030  DEP.ACUM. PROYECTO MULCHEN</v>
          </cell>
          <cell r="B101">
            <v>0</v>
          </cell>
          <cell r="C101">
            <v>4248312</v>
          </cell>
          <cell r="D101">
            <v>0</v>
          </cell>
          <cell r="E101">
            <v>4248312</v>
          </cell>
          <cell r="F101">
            <v>0</v>
          </cell>
          <cell r="G101">
            <v>4248312</v>
          </cell>
          <cell r="H101">
            <v>0</v>
          </cell>
          <cell r="I101">
            <v>0</v>
          </cell>
          <cell r="J101">
            <v>-4248312</v>
          </cell>
        </row>
        <row r="102">
          <cell r="A102" t="str">
            <v>1-2-02-05-603  DEP ACUMU EL TREBOL LINARES</v>
          </cell>
          <cell r="B102">
            <v>0</v>
          </cell>
          <cell r="C102">
            <v>2549995</v>
          </cell>
          <cell r="D102">
            <v>0</v>
          </cell>
          <cell r="E102">
            <v>2549995</v>
          </cell>
          <cell r="F102">
            <v>0</v>
          </cell>
          <cell r="G102">
            <v>2549995</v>
          </cell>
          <cell r="H102">
            <v>0</v>
          </cell>
          <cell r="I102">
            <v>0</v>
          </cell>
          <cell r="J102">
            <v>-2549995</v>
          </cell>
        </row>
        <row r="103">
          <cell r="A103" t="str">
            <v>1-2-02-06-001  DEP. ACUM. BIENES RAICES</v>
          </cell>
          <cell r="B103">
            <v>0</v>
          </cell>
          <cell r="C103">
            <v>3236486</v>
          </cell>
          <cell r="D103">
            <v>0</v>
          </cell>
          <cell r="E103">
            <v>3236486</v>
          </cell>
          <cell r="F103">
            <v>0</v>
          </cell>
          <cell r="G103">
            <v>3236486</v>
          </cell>
          <cell r="H103">
            <v>0</v>
          </cell>
          <cell r="I103">
            <v>0</v>
          </cell>
          <cell r="J103">
            <v>-3236486</v>
          </cell>
        </row>
        <row r="104">
          <cell r="A104" t="str">
            <v>1-3-01-02-003  BOLETA GARANTIAS LOCATARIOS (ORDEN)</v>
          </cell>
          <cell r="B104">
            <v>67786459</v>
          </cell>
          <cell r="C104">
            <v>67594693</v>
          </cell>
          <cell r="D104">
            <v>191766</v>
          </cell>
          <cell r="E104">
            <v>0</v>
          </cell>
          <cell r="F104">
            <v>191766</v>
          </cell>
          <cell r="G104">
            <v>0</v>
          </cell>
          <cell r="H104">
            <v>0</v>
          </cell>
          <cell r="I104">
            <v>0</v>
          </cell>
          <cell r="J104">
            <v>191766</v>
          </cell>
        </row>
        <row r="105">
          <cell r="A105" t="str">
            <v>1-3-04-01-002  RETENCIONES JUDICIALES CAUSAS</v>
          </cell>
          <cell r="B105">
            <v>0</v>
          </cell>
          <cell r="C105">
            <v>1788244</v>
          </cell>
          <cell r="D105">
            <v>0</v>
          </cell>
          <cell r="E105">
            <v>1788244</v>
          </cell>
          <cell r="F105">
            <v>0</v>
          </cell>
          <cell r="G105">
            <v>1788244</v>
          </cell>
          <cell r="H105">
            <v>0</v>
          </cell>
          <cell r="I105">
            <v>0</v>
          </cell>
          <cell r="J105">
            <v>-1788244</v>
          </cell>
        </row>
        <row r="106">
          <cell r="A106" t="str">
            <v>2-1-01-01-009  PRESTAMO  BCO INTERNACIONAL CP M$600</v>
          </cell>
          <cell r="B106">
            <v>27277919</v>
          </cell>
          <cell r="C106">
            <v>27277919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2-1-01-01-010  USO LINEA CRÉDITO BANCO SANTANDER</v>
          </cell>
          <cell r="B107">
            <v>521345631</v>
          </cell>
          <cell r="C107">
            <v>461487982</v>
          </cell>
          <cell r="D107">
            <v>59857649</v>
          </cell>
          <cell r="E107">
            <v>0</v>
          </cell>
          <cell r="F107">
            <v>59857649</v>
          </cell>
          <cell r="G107">
            <v>0</v>
          </cell>
          <cell r="H107">
            <v>0</v>
          </cell>
          <cell r="I107">
            <v>0</v>
          </cell>
          <cell r="J107">
            <v>-59857649</v>
          </cell>
        </row>
        <row r="108">
          <cell r="A108" t="str">
            <v>2-1-01-01-011  USO LINEA CREDITO BANCO BCI</v>
          </cell>
          <cell r="B108">
            <v>102478125</v>
          </cell>
          <cell r="C108">
            <v>77000502</v>
          </cell>
          <cell r="D108">
            <v>25477623</v>
          </cell>
          <cell r="E108">
            <v>0</v>
          </cell>
          <cell r="F108">
            <v>25477623</v>
          </cell>
          <cell r="G108">
            <v>0</v>
          </cell>
          <cell r="H108">
            <v>0</v>
          </cell>
          <cell r="I108">
            <v>0</v>
          </cell>
          <cell r="J108">
            <v>-25477623</v>
          </cell>
        </row>
        <row r="109">
          <cell r="A109" t="str">
            <v>2-1-01-01-014  PRESTAMO  BCO INTERNACIONAL CP M$1.000</v>
          </cell>
          <cell r="B109">
            <v>9263563</v>
          </cell>
          <cell r="C109">
            <v>9263563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>2-1-01-02-001  OBLIG. LEASING 1 SUR 1990 C/PLAZO</v>
          </cell>
          <cell r="B110">
            <v>8136841</v>
          </cell>
          <cell r="C110">
            <v>0</v>
          </cell>
          <cell r="D110">
            <v>8136841</v>
          </cell>
          <cell r="E110">
            <v>0</v>
          </cell>
          <cell r="F110">
            <v>8136841</v>
          </cell>
          <cell r="G110">
            <v>0</v>
          </cell>
          <cell r="H110">
            <v>0</v>
          </cell>
          <cell r="I110">
            <v>0</v>
          </cell>
          <cell r="J110">
            <v>-8136841</v>
          </cell>
        </row>
        <row r="111">
          <cell r="A111" t="str">
            <v>2-1-01-02-002  OBLIG. LEASING SAN JAVIER C/PLAZO</v>
          </cell>
          <cell r="B111">
            <v>6996340</v>
          </cell>
          <cell r="C111">
            <v>0</v>
          </cell>
          <cell r="D111">
            <v>6996340</v>
          </cell>
          <cell r="E111">
            <v>0</v>
          </cell>
          <cell r="F111">
            <v>6996340</v>
          </cell>
          <cell r="G111">
            <v>0</v>
          </cell>
          <cell r="H111">
            <v>0</v>
          </cell>
          <cell r="I111">
            <v>0</v>
          </cell>
          <cell r="J111">
            <v>-6996340</v>
          </cell>
        </row>
        <row r="112">
          <cell r="A112" t="str">
            <v>2-1-01-02-003  OBLIG. LEASING COLIN 0240 TALCA</v>
          </cell>
          <cell r="B112">
            <v>13168118</v>
          </cell>
          <cell r="C112">
            <v>0</v>
          </cell>
          <cell r="D112">
            <v>13168118</v>
          </cell>
          <cell r="E112">
            <v>0</v>
          </cell>
          <cell r="F112">
            <v>13168118</v>
          </cell>
          <cell r="G112">
            <v>0</v>
          </cell>
          <cell r="H112">
            <v>0</v>
          </cell>
          <cell r="I112">
            <v>0</v>
          </cell>
          <cell r="J112">
            <v>-13168118</v>
          </cell>
        </row>
        <row r="113">
          <cell r="A113" t="str">
            <v>2-1-01-02-004  OBLIG. LEASING C. SATELITE C/PLAZO</v>
          </cell>
          <cell r="B113">
            <v>19359475</v>
          </cell>
          <cell r="C113">
            <v>0</v>
          </cell>
          <cell r="D113">
            <v>19359475</v>
          </cell>
          <cell r="E113">
            <v>0</v>
          </cell>
          <cell r="F113">
            <v>19359475</v>
          </cell>
          <cell r="G113">
            <v>0</v>
          </cell>
          <cell r="H113">
            <v>0</v>
          </cell>
          <cell r="I113">
            <v>0</v>
          </cell>
          <cell r="J113">
            <v>-19359475</v>
          </cell>
        </row>
        <row r="114">
          <cell r="A114" t="str">
            <v>2-1-01-02-005  OBLIG. LEASING 11 ORIENTE C/PLAZO</v>
          </cell>
          <cell r="B114">
            <v>6611844</v>
          </cell>
          <cell r="C114">
            <v>6157574</v>
          </cell>
          <cell r="D114">
            <v>454270</v>
          </cell>
          <cell r="E114">
            <v>0</v>
          </cell>
          <cell r="F114">
            <v>454270</v>
          </cell>
          <cell r="G114">
            <v>0</v>
          </cell>
          <cell r="H114">
            <v>0</v>
          </cell>
          <cell r="I114">
            <v>0</v>
          </cell>
          <cell r="J114">
            <v>-454270</v>
          </cell>
        </row>
        <row r="115">
          <cell r="A115" t="str">
            <v>2-1-01-02-006  OBLIG. LEASING MAIPU 556 C/PLAZO</v>
          </cell>
          <cell r="B115">
            <v>5851688</v>
          </cell>
          <cell r="C115">
            <v>5449645</v>
          </cell>
          <cell r="D115">
            <v>402043</v>
          </cell>
          <cell r="E115">
            <v>0</v>
          </cell>
          <cell r="F115">
            <v>402043</v>
          </cell>
          <cell r="G115">
            <v>0</v>
          </cell>
          <cell r="H115">
            <v>0</v>
          </cell>
          <cell r="I115">
            <v>0</v>
          </cell>
          <cell r="J115">
            <v>-402043</v>
          </cell>
        </row>
        <row r="116">
          <cell r="A116" t="str">
            <v>2-1-01-02-007  OBLIG. LEASING BRASIL 648 C/PLAZO</v>
          </cell>
          <cell r="B116">
            <v>4486294</v>
          </cell>
          <cell r="C116">
            <v>4178061</v>
          </cell>
          <cell r="D116">
            <v>308233</v>
          </cell>
          <cell r="E116">
            <v>0</v>
          </cell>
          <cell r="F116">
            <v>308233</v>
          </cell>
          <cell r="G116">
            <v>0</v>
          </cell>
          <cell r="H116">
            <v>0</v>
          </cell>
          <cell r="I116">
            <v>0</v>
          </cell>
          <cell r="J116">
            <v>-308233</v>
          </cell>
        </row>
        <row r="117">
          <cell r="A117" t="str">
            <v>2-1-01-02-008  OBLIG. LEASING VIAL 224 C/PLAZO</v>
          </cell>
          <cell r="B117">
            <v>5364046</v>
          </cell>
          <cell r="C117">
            <v>4995506</v>
          </cell>
          <cell r="D117">
            <v>368540</v>
          </cell>
          <cell r="E117">
            <v>0</v>
          </cell>
          <cell r="F117">
            <v>368540</v>
          </cell>
          <cell r="G117">
            <v>0</v>
          </cell>
          <cell r="H117">
            <v>0</v>
          </cell>
          <cell r="I117">
            <v>0</v>
          </cell>
          <cell r="J117">
            <v>-368540</v>
          </cell>
        </row>
        <row r="118">
          <cell r="A118" t="str">
            <v>2-1-01-02-009  OBLIG. LEASING TALCA COLIN C/PLAZO</v>
          </cell>
          <cell r="B118">
            <v>48533762</v>
          </cell>
          <cell r="C118">
            <v>44731887</v>
          </cell>
          <cell r="D118">
            <v>3801875</v>
          </cell>
          <cell r="E118">
            <v>0</v>
          </cell>
          <cell r="F118">
            <v>3801875</v>
          </cell>
          <cell r="G118">
            <v>0</v>
          </cell>
          <cell r="H118">
            <v>0</v>
          </cell>
          <cell r="I118">
            <v>0</v>
          </cell>
          <cell r="J118">
            <v>-3801875</v>
          </cell>
        </row>
        <row r="119">
          <cell r="A119" t="str">
            <v>2-1-01-02-010  OBLIG. HIPOTECARIO C/PLAZO</v>
          </cell>
          <cell r="B119">
            <v>15846195</v>
          </cell>
          <cell r="C119">
            <v>0</v>
          </cell>
          <cell r="D119">
            <v>15846195</v>
          </cell>
          <cell r="E119">
            <v>0</v>
          </cell>
          <cell r="F119">
            <v>15846195</v>
          </cell>
          <cell r="G119">
            <v>0</v>
          </cell>
          <cell r="H119">
            <v>0</v>
          </cell>
          <cell r="I119">
            <v>0</v>
          </cell>
          <cell r="J119">
            <v>-15846195</v>
          </cell>
        </row>
        <row r="120">
          <cell r="A120" t="str">
            <v>2-1-01-02-011  OBLIG.LEASING VALPO  C/P</v>
          </cell>
          <cell r="B120">
            <v>24582696</v>
          </cell>
          <cell r="C120">
            <v>25507536</v>
          </cell>
          <cell r="D120">
            <v>0</v>
          </cell>
          <cell r="E120">
            <v>924840</v>
          </cell>
          <cell r="F120">
            <v>0</v>
          </cell>
          <cell r="G120">
            <v>924840</v>
          </cell>
          <cell r="H120">
            <v>0</v>
          </cell>
          <cell r="I120">
            <v>0</v>
          </cell>
          <cell r="J120">
            <v>924840</v>
          </cell>
        </row>
        <row r="121">
          <cell r="A121" t="str">
            <v>2-1-01-02-012  OBLIG.LEASING CAUQUENES C/P</v>
          </cell>
          <cell r="B121">
            <v>9272794</v>
          </cell>
          <cell r="C121">
            <v>9658804</v>
          </cell>
          <cell r="D121">
            <v>0</v>
          </cell>
          <cell r="E121">
            <v>386010</v>
          </cell>
          <cell r="F121">
            <v>0</v>
          </cell>
          <cell r="G121">
            <v>386010</v>
          </cell>
          <cell r="H121">
            <v>0</v>
          </cell>
          <cell r="I121">
            <v>0</v>
          </cell>
          <cell r="J121">
            <v>386010</v>
          </cell>
        </row>
        <row r="122">
          <cell r="A122" t="str">
            <v>2-1-01-02-013  OBLIG. LEASING OUTLET C/P</v>
          </cell>
          <cell r="B122">
            <v>68446940</v>
          </cell>
          <cell r="C122">
            <v>72440475</v>
          </cell>
          <cell r="D122">
            <v>0</v>
          </cell>
          <cell r="E122">
            <v>3993535</v>
          </cell>
          <cell r="F122">
            <v>0</v>
          </cell>
          <cell r="G122">
            <v>3993535</v>
          </cell>
          <cell r="H122">
            <v>0</v>
          </cell>
          <cell r="I122">
            <v>0</v>
          </cell>
          <cell r="J122">
            <v>3993535</v>
          </cell>
        </row>
        <row r="123">
          <cell r="A123" t="str">
            <v>2-1-01-02-014  OBLIG HIPOTECARIO LOS MORRO CP</v>
          </cell>
          <cell r="B123">
            <v>34888766</v>
          </cell>
          <cell r="C123">
            <v>36031552</v>
          </cell>
          <cell r="D123">
            <v>0</v>
          </cell>
          <cell r="E123">
            <v>1142786</v>
          </cell>
          <cell r="F123">
            <v>0</v>
          </cell>
          <cell r="G123">
            <v>1142786</v>
          </cell>
          <cell r="H123">
            <v>0</v>
          </cell>
          <cell r="I123">
            <v>0</v>
          </cell>
          <cell r="J123">
            <v>1142786</v>
          </cell>
        </row>
        <row r="124">
          <cell r="A124" t="str">
            <v>2-1-01-03-002  OBLIG LEASING VEHICULOS  CP 2</v>
          </cell>
          <cell r="B124">
            <v>5735688</v>
          </cell>
          <cell r="C124">
            <v>0</v>
          </cell>
          <cell r="D124">
            <v>5735688</v>
          </cell>
          <cell r="E124">
            <v>0</v>
          </cell>
          <cell r="F124">
            <v>5735688</v>
          </cell>
          <cell r="G124">
            <v>0</v>
          </cell>
          <cell r="H124">
            <v>0</v>
          </cell>
          <cell r="I124">
            <v>0</v>
          </cell>
          <cell r="J124">
            <v>-5735688</v>
          </cell>
        </row>
        <row r="125">
          <cell r="A125" t="str">
            <v>2-1-02-01-005  MUTUOS POR PAGAR</v>
          </cell>
          <cell r="B125">
            <v>0</v>
          </cell>
          <cell r="C125">
            <v>5986162</v>
          </cell>
          <cell r="D125">
            <v>0</v>
          </cell>
          <cell r="E125">
            <v>5986162</v>
          </cell>
          <cell r="F125">
            <v>0</v>
          </cell>
          <cell r="G125">
            <v>5986162</v>
          </cell>
          <cell r="H125">
            <v>0</v>
          </cell>
          <cell r="I125">
            <v>0</v>
          </cell>
          <cell r="J125">
            <v>5986162</v>
          </cell>
        </row>
        <row r="126">
          <cell r="A126" t="str">
            <v>2-1-02-01-008  REMUNERACIONES POR PAGAR (2)</v>
          </cell>
          <cell r="B126">
            <v>99060830</v>
          </cell>
          <cell r="C126">
            <v>99060830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</row>
        <row r="127">
          <cell r="A127" t="str">
            <v>2-1-02-01-009  CUENTA POR PAGAR INVERSIONES NUEVA SANTA FIDELMIRA LIMITADA</v>
          </cell>
          <cell r="B127">
            <v>50000</v>
          </cell>
          <cell r="C127">
            <v>36336669</v>
          </cell>
          <cell r="D127">
            <v>0</v>
          </cell>
          <cell r="E127">
            <v>36286669</v>
          </cell>
          <cell r="F127">
            <v>0</v>
          </cell>
          <cell r="G127">
            <v>36286669</v>
          </cell>
          <cell r="H127">
            <v>0</v>
          </cell>
          <cell r="I127">
            <v>0</v>
          </cell>
          <cell r="J127">
            <v>36286669</v>
          </cell>
        </row>
        <row r="128">
          <cell r="A128" t="str">
            <v>2-1-02-01-010  Cuenta por pagar Constructora ERG</v>
          </cell>
          <cell r="B128">
            <v>946609</v>
          </cell>
          <cell r="C128">
            <v>40000</v>
          </cell>
          <cell r="D128">
            <v>906609</v>
          </cell>
          <cell r="E128">
            <v>0</v>
          </cell>
          <cell r="F128">
            <v>906609</v>
          </cell>
          <cell r="G128">
            <v>0</v>
          </cell>
          <cell r="H128">
            <v>0</v>
          </cell>
          <cell r="I128">
            <v>0</v>
          </cell>
          <cell r="J128">
            <v>-906609</v>
          </cell>
        </row>
        <row r="129">
          <cell r="A129" t="str">
            <v>2-1-03-01-002  GARANTIAS RECIBIDAS ARRENDATARIOS (UF)</v>
          </cell>
          <cell r="B129">
            <v>201894704</v>
          </cell>
          <cell r="C129">
            <v>198589937</v>
          </cell>
          <cell r="D129">
            <v>3304767</v>
          </cell>
          <cell r="E129">
            <v>0</v>
          </cell>
          <cell r="F129">
            <v>3304767</v>
          </cell>
          <cell r="G129">
            <v>0</v>
          </cell>
          <cell r="H129">
            <v>0</v>
          </cell>
          <cell r="I129">
            <v>0</v>
          </cell>
          <cell r="J129">
            <v>-3304767</v>
          </cell>
        </row>
        <row r="130">
          <cell r="A130" t="str">
            <v>2-1-03-01-008  CTA X PAGAR ISF DOLAR</v>
          </cell>
          <cell r="B130">
            <v>53374244</v>
          </cell>
          <cell r="C130">
            <v>16714790</v>
          </cell>
          <cell r="D130">
            <v>36659454</v>
          </cell>
          <cell r="E130">
            <v>0</v>
          </cell>
          <cell r="F130">
            <v>36659454</v>
          </cell>
          <cell r="G130">
            <v>0</v>
          </cell>
          <cell r="H130">
            <v>0</v>
          </cell>
          <cell r="I130">
            <v>0</v>
          </cell>
          <cell r="J130">
            <v>-36659454</v>
          </cell>
        </row>
        <row r="131">
          <cell r="A131" t="str">
            <v>2-1-03-01-009  BOLETA GARANTIAS LOCATARIOS (ORDEN)</v>
          </cell>
          <cell r="B131">
            <v>67594693</v>
          </cell>
          <cell r="C131">
            <v>67786459</v>
          </cell>
          <cell r="D131">
            <v>0</v>
          </cell>
          <cell r="E131">
            <v>191766</v>
          </cell>
          <cell r="F131">
            <v>0</v>
          </cell>
          <cell r="G131">
            <v>191766</v>
          </cell>
          <cell r="H131">
            <v>0</v>
          </cell>
          <cell r="I131">
            <v>0</v>
          </cell>
          <cell r="J131">
            <v>191766</v>
          </cell>
        </row>
        <row r="132">
          <cell r="A132" t="str">
            <v>2-1-03-02-001  ANTICIPO DE CLIENTES</v>
          </cell>
          <cell r="B132">
            <v>3396251</v>
          </cell>
          <cell r="C132">
            <v>3527118</v>
          </cell>
          <cell r="D132">
            <v>0</v>
          </cell>
          <cell r="E132">
            <v>130867</v>
          </cell>
          <cell r="F132">
            <v>0</v>
          </cell>
          <cell r="G132">
            <v>130867</v>
          </cell>
          <cell r="H132">
            <v>0</v>
          </cell>
          <cell r="I132">
            <v>0</v>
          </cell>
          <cell r="J132">
            <v>130867</v>
          </cell>
        </row>
        <row r="133">
          <cell r="A133" t="str">
            <v>2-1-04-01-001  IVA DEBITO FISCAL</v>
          </cell>
          <cell r="B133">
            <v>158991445</v>
          </cell>
          <cell r="C133">
            <v>158991445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</row>
        <row r="134">
          <cell r="A134" t="str">
            <v>2-1-04-01-002  IMPUESTO UNICO</v>
          </cell>
          <cell r="B134">
            <v>45555101</v>
          </cell>
          <cell r="C134">
            <v>36828907</v>
          </cell>
          <cell r="D134">
            <v>8726194</v>
          </cell>
          <cell r="E134">
            <v>0</v>
          </cell>
          <cell r="F134">
            <v>8726194</v>
          </cell>
          <cell r="G134">
            <v>0</v>
          </cell>
          <cell r="H134">
            <v>0</v>
          </cell>
          <cell r="I134">
            <v>0</v>
          </cell>
          <cell r="J134">
            <v>-8726194</v>
          </cell>
        </row>
        <row r="135">
          <cell r="A135" t="str">
            <v>2-1-04-01-003  IMPUESTO 2° CATEGORIA</v>
          </cell>
          <cell r="B135">
            <v>1625749</v>
          </cell>
          <cell r="C135">
            <v>1876568</v>
          </cell>
          <cell r="D135">
            <v>0</v>
          </cell>
          <cell r="E135">
            <v>250819</v>
          </cell>
          <cell r="F135">
            <v>0</v>
          </cell>
          <cell r="G135">
            <v>250819</v>
          </cell>
          <cell r="H135">
            <v>0</v>
          </cell>
          <cell r="I135">
            <v>0</v>
          </cell>
          <cell r="J135">
            <v>250819</v>
          </cell>
        </row>
        <row r="136">
          <cell r="A136" t="str">
            <v>2-1-04-01-004  IMPUESTOS POR PAGAR</v>
          </cell>
          <cell r="B136">
            <v>55014467</v>
          </cell>
          <cell r="C136">
            <v>58353341</v>
          </cell>
          <cell r="D136">
            <v>0</v>
          </cell>
          <cell r="E136">
            <v>3338874</v>
          </cell>
          <cell r="F136">
            <v>0</v>
          </cell>
          <cell r="G136">
            <v>3338874</v>
          </cell>
          <cell r="H136">
            <v>0</v>
          </cell>
          <cell r="I136">
            <v>0</v>
          </cell>
          <cell r="J136">
            <v>3338874</v>
          </cell>
        </row>
        <row r="137">
          <cell r="A137" t="str">
            <v>2-1-04-01-005  IMPOSICIONES POR PAGAR</v>
          </cell>
          <cell r="B137">
            <v>13675627</v>
          </cell>
          <cell r="C137">
            <v>11695094</v>
          </cell>
          <cell r="D137">
            <v>1980533</v>
          </cell>
          <cell r="E137">
            <v>0</v>
          </cell>
          <cell r="F137">
            <v>1980533</v>
          </cell>
          <cell r="G137">
            <v>0</v>
          </cell>
          <cell r="H137">
            <v>0</v>
          </cell>
          <cell r="I137">
            <v>0</v>
          </cell>
          <cell r="J137">
            <v>-1980533</v>
          </cell>
        </row>
        <row r="138">
          <cell r="A138" t="str">
            <v>2-1-06-01-001  PROVEEDORES 2</v>
          </cell>
          <cell r="B138">
            <v>1187493320</v>
          </cell>
          <cell r="C138">
            <v>1257585922</v>
          </cell>
          <cell r="D138">
            <v>0</v>
          </cell>
          <cell r="E138">
            <v>70092602</v>
          </cell>
          <cell r="F138">
            <v>0</v>
          </cell>
          <cell r="G138">
            <v>70092602</v>
          </cell>
          <cell r="H138">
            <v>0</v>
          </cell>
          <cell r="I138">
            <v>0</v>
          </cell>
          <cell r="J138">
            <v>70092602</v>
          </cell>
        </row>
        <row r="139">
          <cell r="A139" t="str">
            <v>2-1-06-01-002  HONORARIOS POR PAGAR 2</v>
          </cell>
          <cell r="B139">
            <v>5978569</v>
          </cell>
          <cell r="C139">
            <v>11164285</v>
          </cell>
          <cell r="D139">
            <v>0</v>
          </cell>
          <cell r="E139">
            <v>5185716</v>
          </cell>
          <cell r="F139">
            <v>0</v>
          </cell>
          <cell r="G139">
            <v>5185716</v>
          </cell>
          <cell r="H139">
            <v>0</v>
          </cell>
          <cell r="I139">
            <v>0</v>
          </cell>
          <cell r="J139">
            <v>5185716</v>
          </cell>
        </row>
        <row r="140">
          <cell r="A140" t="str">
            <v>2-1-06-01-006  CHEQUES GIRADOS POR PAGAR 2</v>
          </cell>
          <cell r="B140">
            <v>100838248</v>
          </cell>
          <cell r="C140">
            <v>100000000</v>
          </cell>
          <cell r="D140">
            <v>838248</v>
          </cell>
          <cell r="E140">
            <v>0</v>
          </cell>
          <cell r="F140">
            <v>838248</v>
          </cell>
          <cell r="G140">
            <v>0</v>
          </cell>
          <cell r="H140">
            <v>0</v>
          </cell>
          <cell r="I140">
            <v>0</v>
          </cell>
          <cell r="J140">
            <v>-838248</v>
          </cell>
        </row>
        <row r="141">
          <cell r="A141" t="str">
            <v>2-1-06-01-007  SEGURO SALUD COMPLEMENTARIO</v>
          </cell>
          <cell r="B141">
            <v>296983</v>
          </cell>
          <cell r="C141">
            <v>296983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</row>
        <row r="142">
          <cell r="A142" t="str">
            <v>2-2-01-01-004  PRESTAMO  BCO INTERNACIONAL LP M$600</v>
          </cell>
          <cell r="B142">
            <v>29596668</v>
          </cell>
          <cell r="C142">
            <v>0</v>
          </cell>
          <cell r="D142">
            <v>29596668</v>
          </cell>
          <cell r="E142">
            <v>0</v>
          </cell>
          <cell r="F142">
            <v>29596668</v>
          </cell>
          <cell r="G142">
            <v>0</v>
          </cell>
          <cell r="H142">
            <v>0</v>
          </cell>
          <cell r="I142">
            <v>0</v>
          </cell>
          <cell r="J142">
            <v>-29596668</v>
          </cell>
        </row>
        <row r="143">
          <cell r="A143" t="str">
            <v>2-2-01-01-005  PRESTAMO  BCO INTERNACIONAL LP M$1.000</v>
          </cell>
          <cell r="B143">
            <v>15312329</v>
          </cell>
          <cell r="C143">
            <v>0</v>
          </cell>
          <cell r="D143">
            <v>15312329</v>
          </cell>
          <cell r="E143">
            <v>0</v>
          </cell>
          <cell r="F143">
            <v>15312329</v>
          </cell>
          <cell r="G143">
            <v>0</v>
          </cell>
          <cell r="H143">
            <v>0</v>
          </cell>
          <cell r="I143">
            <v>0</v>
          </cell>
          <cell r="J143">
            <v>-15312329</v>
          </cell>
        </row>
        <row r="144">
          <cell r="A144" t="str">
            <v>2-2-01-02-005  OBLIG. LEASING 11 ORIENTE 1550 L/PLAZO</v>
          </cell>
          <cell r="B144">
            <v>6770565</v>
          </cell>
          <cell r="C144">
            <v>0</v>
          </cell>
          <cell r="D144">
            <v>6770565</v>
          </cell>
          <cell r="E144">
            <v>0</v>
          </cell>
          <cell r="F144">
            <v>6770565</v>
          </cell>
          <cell r="G144">
            <v>0</v>
          </cell>
          <cell r="H144">
            <v>0</v>
          </cell>
          <cell r="I144">
            <v>0</v>
          </cell>
          <cell r="J144">
            <v>-6770565</v>
          </cell>
        </row>
        <row r="145">
          <cell r="A145" t="str">
            <v>2-2-01-02-006  OBLIG. LEASING MAIPU 556 L/PLAZO</v>
          </cell>
          <cell r="B145">
            <v>5992160</v>
          </cell>
          <cell r="C145">
            <v>0</v>
          </cell>
          <cell r="D145">
            <v>5992160</v>
          </cell>
          <cell r="E145">
            <v>0</v>
          </cell>
          <cell r="F145">
            <v>5992160</v>
          </cell>
          <cell r="G145">
            <v>0</v>
          </cell>
          <cell r="H145">
            <v>0</v>
          </cell>
          <cell r="I145">
            <v>0</v>
          </cell>
          <cell r="J145">
            <v>-5992160</v>
          </cell>
        </row>
        <row r="146">
          <cell r="A146" t="str">
            <v>2-2-01-02-007  OBLIG. LEASING BRASIL 648 L/PLAZO</v>
          </cell>
          <cell r="B146">
            <v>4593990</v>
          </cell>
          <cell r="C146">
            <v>0</v>
          </cell>
          <cell r="D146">
            <v>4593990</v>
          </cell>
          <cell r="E146">
            <v>0</v>
          </cell>
          <cell r="F146">
            <v>4593990</v>
          </cell>
          <cell r="G146">
            <v>0</v>
          </cell>
          <cell r="H146">
            <v>0</v>
          </cell>
          <cell r="I146">
            <v>0</v>
          </cell>
          <cell r="J146">
            <v>-4593990</v>
          </cell>
        </row>
        <row r="147">
          <cell r="A147" t="str">
            <v>2-2-01-02-008  OBLIG. LEASING VIAL 224 L/PLAZO</v>
          </cell>
          <cell r="B147">
            <v>5492814</v>
          </cell>
          <cell r="C147">
            <v>0</v>
          </cell>
          <cell r="D147">
            <v>5492814</v>
          </cell>
          <cell r="E147">
            <v>0</v>
          </cell>
          <cell r="F147">
            <v>5492814</v>
          </cell>
          <cell r="G147">
            <v>0</v>
          </cell>
          <cell r="H147">
            <v>0</v>
          </cell>
          <cell r="I147">
            <v>0</v>
          </cell>
          <cell r="J147">
            <v>-5492814</v>
          </cell>
        </row>
        <row r="148">
          <cell r="A148" t="str">
            <v>2-2-01-02-009  OBLIG. LEASING TALCA COLIN L/PLAZO</v>
          </cell>
          <cell r="B148">
            <v>53527080</v>
          </cell>
          <cell r="C148">
            <v>0</v>
          </cell>
          <cell r="D148">
            <v>53527080</v>
          </cell>
          <cell r="E148">
            <v>0</v>
          </cell>
          <cell r="F148">
            <v>53527080</v>
          </cell>
          <cell r="G148">
            <v>0</v>
          </cell>
          <cell r="H148">
            <v>0</v>
          </cell>
          <cell r="I148">
            <v>0</v>
          </cell>
          <cell r="J148">
            <v>-53527080</v>
          </cell>
        </row>
        <row r="149">
          <cell r="A149" t="str">
            <v>2-2-01-02-010  OBLIG.LEASING  VALPO L/P</v>
          </cell>
          <cell r="B149">
            <v>21037833</v>
          </cell>
          <cell r="C149">
            <v>0</v>
          </cell>
          <cell r="D149">
            <v>21037833</v>
          </cell>
          <cell r="E149">
            <v>0</v>
          </cell>
          <cell r="F149">
            <v>21037833</v>
          </cell>
          <cell r="G149">
            <v>0</v>
          </cell>
          <cell r="H149">
            <v>0</v>
          </cell>
          <cell r="I149">
            <v>0</v>
          </cell>
          <cell r="J149">
            <v>-21037833</v>
          </cell>
        </row>
        <row r="150">
          <cell r="A150" t="str">
            <v>2-2-01-02-011  OBLIG.LEASING CAUQUENES  L/P</v>
          </cell>
          <cell r="B150">
            <v>8892295</v>
          </cell>
          <cell r="C150">
            <v>0</v>
          </cell>
          <cell r="D150">
            <v>8892295</v>
          </cell>
          <cell r="E150">
            <v>0</v>
          </cell>
          <cell r="F150">
            <v>8892295</v>
          </cell>
          <cell r="G150">
            <v>0</v>
          </cell>
          <cell r="H150">
            <v>0</v>
          </cell>
          <cell r="I150">
            <v>0</v>
          </cell>
          <cell r="J150">
            <v>-8892295</v>
          </cell>
        </row>
        <row r="151">
          <cell r="A151" t="str">
            <v>2-2-01-02-012  OBLIGAC. LEASING OUTLET L/P</v>
          </cell>
          <cell r="B151">
            <v>59893358</v>
          </cell>
          <cell r="C151">
            <v>0</v>
          </cell>
          <cell r="D151">
            <v>59893358</v>
          </cell>
          <cell r="E151">
            <v>0</v>
          </cell>
          <cell r="F151">
            <v>59893358</v>
          </cell>
          <cell r="G151">
            <v>0</v>
          </cell>
          <cell r="H151">
            <v>0</v>
          </cell>
          <cell r="I151">
            <v>0</v>
          </cell>
          <cell r="J151">
            <v>-59893358</v>
          </cell>
        </row>
        <row r="152">
          <cell r="A152" t="str">
            <v>2-2-01-02-013  OBLIG LEASING VEHICULOS LP</v>
          </cell>
          <cell r="B152">
            <v>708957</v>
          </cell>
          <cell r="C152">
            <v>0</v>
          </cell>
          <cell r="D152">
            <v>708957</v>
          </cell>
          <cell r="E152">
            <v>0</v>
          </cell>
          <cell r="F152">
            <v>708957</v>
          </cell>
          <cell r="G152">
            <v>0</v>
          </cell>
          <cell r="H152">
            <v>0</v>
          </cell>
          <cell r="I152">
            <v>0</v>
          </cell>
          <cell r="J152">
            <v>-708957</v>
          </cell>
        </row>
        <row r="153">
          <cell r="A153" t="str">
            <v>2-2-01-02-014  OBLIG HIPOTECARIO LOS MORRO LP</v>
          </cell>
          <cell r="B153">
            <v>19664198</v>
          </cell>
          <cell r="C153">
            <v>0</v>
          </cell>
          <cell r="D153">
            <v>19664198</v>
          </cell>
          <cell r="E153">
            <v>0</v>
          </cell>
          <cell r="F153">
            <v>19664198</v>
          </cell>
          <cell r="G153">
            <v>0</v>
          </cell>
          <cell r="H153">
            <v>0</v>
          </cell>
          <cell r="I153">
            <v>0</v>
          </cell>
          <cell r="J153">
            <v>-19664198</v>
          </cell>
        </row>
        <row r="154">
          <cell r="A154" t="str">
            <v>3-2-01-01-002  RESULTADOS ACUMULADOS</v>
          </cell>
          <cell r="B154">
            <v>197846191</v>
          </cell>
          <cell r="C154">
            <v>197266196</v>
          </cell>
          <cell r="D154">
            <v>579995</v>
          </cell>
          <cell r="E154">
            <v>0</v>
          </cell>
          <cell r="F154">
            <v>579995</v>
          </cell>
          <cell r="G154">
            <v>0</v>
          </cell>
          <cell r="H154">
            <v>0</v>
          </cell>
          <cell r="I154">
            <v>0</v>
          </cell>
          <cell r="J154">
            <v>-579995</v>
          </cell>
        </row>
        <row r="155">
          <cell r="A155" t="str">
            <v>4-1-01-01-001  ARRIENDO FIJO</v>
          </cell>
          <cell r="B155">
            <v>29407616</v>
          </cell>
          <cell r="C155">
            <v>834319893</v>
          </cell>
          <cell r="D155">
            <v>0</v>
          </cell>
          <cell r="E155">
            <v>804912277</v>
          </cell>
          <cell r="F155">
            <v>0</v>
          </cell>
          <cell r="G155">
            <v>0</v>
          </cell>
          <cell r="H155">
            <v>0</v>
          </cell>
          <cell r="I155">
            <v>804912277</v>
          </cell>
          <cell r="J155">
            <v>804912277</v>
          </cell>
        </row>
        <row r="156">
          <cell r="A156" t="str">
            <v>4-1-01-01-002  ARRIENDO VARIABLE</v>
          </cell>
          <cell r="B156">
            <v>111454121</v>
          </cell>
          <cell r="C156">
            <v>221163582</v>
          </cell>
          <cell r="D156">
            <v>0</v>
          </cell>
          <cell r="E156">
            <v>109709461</v>
          </cell>
          <cell r="F156">
            <v>0</v>
          </cell>
          <cell r="G156">
            <v>0</v>
          </cell>
          <cell r="H156">
            <v>0</v>
          </cell>
          <cell r="I156">
            <v>109709461</v>
          </cell>
          <cell r="J156">
            <v>109709461</v>
          </cell>
        </row>
        <row r="157">
          <cell r="A157" t="str">
            <v>4-1-01-01-005  CONSUMOS DE AGUAS</v>
          </cell>
          <cell r="B157">
            <v>201577</v>
          </cell>
          <cell r="C157">
            <v>7320381</v>
          </cell>
          <cell r="D157">
            <v>0</v>
          </cell>
          <cell r="E157">
            <v>7118804</v>
          </cell>
          <cell r="F157">
            <v>0</v>
          </cell>
          <cell r="G157">
            <v>0</v>
          </cell>
          <cell r="H157">
            <v>0</v>
          </cell>
          <cell r="I157">
            <v>7118804</v>
          </cell>
          <cell r="J157">
            <v>7118804</v>
          </cell>
        </row>
        <row r="158">
          <cell r="A158" t="str">
            <v>4-1-01-01-006  CONSUMOS DE LUZ</v>
          </cell>
          <cell r="B158">
            <v>3297254</v>
          </cell>
          <cell r="C158">
            <v>103658416</v>
          </cell>
          <cell r="D158">
            <v>0</v>
          </cell>
          <cell r="E158">
            <v>100361162</v>
          </cell>
          <cell r="F158">
            <v>0</v>
          </cell>
          <cell r="G158">
            <v>0</v>
          </cell>
          <cell r="H158">
            <v>0</v>
          </cell>
          <cell r="I158">
            <v>100361162</v>
          </cell>
          <cell r="J158">
            <v>100361162</v>
          </cell>
        </row>
        <row r="159">
          <cell r="A159" t="str">
            <v>4-1-01-01-007  CONSUMOS DE GAS</v>
          </cell>
          <cell r="B159">
            <v>0</v>
          </cell>
          <cell r="C159">
            <v>1889504</v>
          </cell>
          <cell r="D159">
            <v>0</v>
          </cell>
          <cell r="E159">
            <v>1889504</v>
          </cell>
          <cell r="F159">
            <v>0</v>
          </cell>
          <cell r="G159">
            <v>0</v>
          </cell>
          <cell r="H159">
            <v>0</v>
          </cell>
          <cell r="I159">
            <v>1889504</v>
          </cell>
          <cell r="J159">
            <v>1889504</v>
          </cell>
        </row>
        <row r="160">
          <cell r="A160" t="str">
            <v>4-1-01-01-008  GASTOS COMUNES</v>
          </cell>
          <cell r="B160">
            <v>82128058</v>
          </cell>
          <cell r="C160">
            <v>167016673</v>
          </cell>
          <cell r="D160">
            <v>0</v>
          </cell>
          <cell r="E160">
            <v>84888615</v>
          </cell>
          <cell r="F160">
            <v>0</v>
          </cell>
          <cell r="G160">
            <v>0</v>
          </cell>
          <cell r="H160">
            <v>0</v>
          </cell>
          <cell r="I160">
            <v>84888615</v>
          </cell>
          <cell r="J160">
            <v>84888615</v>
          </cell>
        </row>
        <row r="161">
          <cell r="A161" t="str">
            <v>4-1-01-01-011  DEVOLUCION DE CONTRIBUCIONES</v>
          </cell>
          <cell r="B161">
            <v>0</v>
          </cell>
          <cell r="C161">
            <v>18483</v>
          </cell>
          <cell r="D161">
            <v>0</v>
          </cell>
          <cell r="E161">
            <v>18483</v>
          </cell>
          <cell r="F161">
            <v>0</v>
          </cell>
          <cell r="G161">
            <v>0</v>
          </cell>
          <cell r="H161">
            <v>0</v>
          </cell>
          <cell r="I161">
            <v>18483</v>
          </cell>
          <cell r="J161">
            <v>18483</v>
          </cell>
        </row>
        <row r="162">
          <cell r="A162" t="str">
            <v>4-1-01-01-013  VARIOS</v>
          </cell>
          <cell r="B162">
            <v>349</v>
          </cell>
          <cell r="C162">
            <v>93542</v>
          </cell>
          <cell r="D162">
            <v>0</v>
          </cell>
          <cell r="E162">
            <v>93193</v>
          </cell>
          <cell r="F162">
            <v>0</v>
          </cell>
          <cell r="G162">
            <v>0</v>
          </cell>
          <cell r="H162">
            <v>0</v>
          </cell>
          <cell r="I162">
            <v>93193</v>
          </cell>
          <cell r="J162">
            <v>93193</v>
          </cell>
        </row>
        <row r="163">
          <cell r="A163" t="str">
            <v>4-1-01-01-015  INGRESO VARIABLE FONDO PROMOCIÓN</v>
          </cell>
          <cell r="B163">
            <v>0</v>
          </cell>
          <cell r="C163">
            <v>1056157</v>
          </cell>
          <cell r="D163">
            <v>0</v>
          </cell>
          <cell r="E163">
            <v>1056157</v>
          </cell>
          <cell r="F163">
            <v>0</v>
          </cell>
          <cell r="G163">
            <v>0</v>
          </cell>
          <cell r="H163">
            <v>0</v>
          </cell>
          <cell r="I163">
            <v>1056157</v>
          </cell>
          <cell r="J163">
            <v>1056157</v>
          </cell>
        </row>
        <row r="164">
          <cell r="A164" t="str">
            <v>4-2-01-01-003  DIVIDENDOS RIACHUELO</v>
          </cell>
          <cell r="B164">
            <v>0</v>
          </cell>
          <cell r="C164">
            <v>10000000</v>
          </cell>
          <cell r="D164">
            <v>0</v>
          </cell>
          <cell r="E164">
            <v>10000000</v>
          </cell>
          <cell r="F164">
            <v>0</v>
          </cell>
          <cell r="G164">
            <v>0</v>
          </cell>
          <cell r="H164">
            <v>0</v>
          </cell>
          <cell r="I164">
            <v>10000000</v>
          </cell>
          <cell r="J164">
            <v>10000000</v>
          </cell>
        </row>
        <row r="165">
          <cell r="A165" t="str">
            <v>4-2-01-01-004  INTERESES DAP</v>
          </cell>
          <cell r="B165">
            <v>0</v>
          </cell>
          <cell r="C165">
            <v>3946204</v>
          </cell>
          <cell r="D165">
            <v>0</v>
          </cell>
          <cell r="E165">
            <v>3946204</v>
          </cell>
          <cell r="F165">
            <v>0</v>
          </cell>
          <cell r="G165">
            <v>0</v>
          </cell>
          <cell r="H165">
            <v>0</v>
          </cell>
          <cell r="I165">
            <v>3946204</v>
          </cell>
          <cell r="J165">
            <v>3946204</v>
          </cell>
        </row>
        <row r="166">
          <cell r="A166" t="str">
            <v>4-2-01-01-005  INTERESES DE PAGARE</v>
          </cell>
          <cell r="B166">
            <v>0</v>
          </cell>
          <cell r="C166">
            <v>6532738</v>
          </cell>
          <cell r="D166">
            <v>0</v>
          </cell>
          <cell r="E166">
            <v>6532738</v>
          </cell>
          <cell r="F166">
            <v>0</v>
          </cell>
          <cell r="G166">
            <v>0</v>
          </cell>
          <cell r="H166">
            <v>0</v>
          </cell>
          <cell r="I166">
            <v>6532738</v>
          </cell>
          <cell r="J166">
            <v>6532738</v>
          </cell>
        </row>
        <row r="167">
          <cell r="A167" t="str">
            <v>4-2-01-01-006  INTERESES DAP US$ BCI</v>
          </cell>
          <cell r="B167">
            <v>0</v>
          </cell>
          <cell r="C167">
            <v>658437</v>
          </cell>
          <cell r="D167">
            <v>0</v>
          </cell>
          <cell r="E167">
            <v>658437</v>
          </cell>
          <cell r="F167">
            <v>0</v>
          </cell>
          <cell r="G167">
            <v>0</v>
          </cell>
          <cell r="H167">
            <v>0</v>
          </cell>
          <cell r="I167">
            <v>658437</v>
          </cell>
          <cell r="J167">
            <v>658437</v>
          </cell>
        </row>
        <row r="168">
          <cell r="A168" t="str">
            <v>4-2-01-01-011  DIVIDENDO ASSET SANTANDER</v>
          </cell>
          <cell r="B168">
            <v>0</v>
          </cell>
          <cell r="C168">
            <v>5959010</v>
          </cell>
          <cell r="D168">
            <v>0</v>
          </cell>
          <cell r="E168">
            <v>5959010</v>
          </cell>
          <cell r="F168">
            <v>0</v>
          </cell>
          <cell r="G168">
            <v>0</v>
          </cell>
          <cell r="H168">
            <v>0</v>
          </cell>
          <cell r="I168">
            <v>5959010</v>
          </cell>
          <cell r="J168">
            <v>5959010</v>
          </cell>
        </row>
        <row r="169">
          <cell r="A169" t="str">
            <v>4-2-01-02-008  ARQUITEC Y HABILITACION  LOCALES</v>
          </cell>
          <cell r="B169">
            <v>0</v>
          </cell>
          <cell r="C169">
            <v>1579782</v>
          </cell>
          <cell r="D169">
            <v>0</v>
          </cell>
          <cell r="E169">
            <v>1579782</v>
          </cell>
          <cell r="F169">
            <v>0</v>
          </cell>
          <cell r="G169">
            <v>0</v>
          </cell>
          <cell r="H169">
            <v>0</v>
          </cell>
          <cell r="I169">
            <v>1579782</v>
          </cell>
          <cell r="J169">
            <v>1579782</v>
          </cell>
        </row>
        <row r="170">
          <cell r="A170" t="str">
            <v>4-2-01-02-009  INGRESOS POR INTERESES MUTUOS EWA</v>
          </cell>
          <cell r="B170">
            <v>0</v>
          </cell>
          <cell r="C170">
            <v>82425</v>
          </cell>
          <cell r="D170">
            <v>0</v>
          </cell>
          <cell r="E170">
            <v>82425</v>
          </cell>
          <cell r="F170">
            <v>0</v>
          </cell>
          <cell r="G170">
            <v>0</v>
          </cell>
          <cell r="H170">
            <v>0</v>
          </cell>
          <cell r="I170">
            <v>82425</v>
          </cell>
          <cell r="J170">
            <v>82425</v>
          </cell>
        </row>
        <row r="171">
          <cell r="A171" t="str">
            <v>5-1-01-01-001  SERVICIOS DE GUARDIAS</v>
          </cell>
          <cell r="B171">
            <v>94084338</v>
          </cell>
          <cell r="C171">
            <v>36396572</v>
          </cell>
          <cell r="D171">
            <v>57687766</v>
          </cell>
          <cell r="E171">
            <v>0</v>
          </cell>
          <cell r="F171">
            <v>0</v>
          </cell>
          <cell r="G171">
            <v>0</v>
          </cell>
          <cell r="H171">
            <v>57687766</v>
          </cell>
          <cell r="I171">
            <v>0</v>
          </cell>
          <cell r="J171">
            <v>-57687766</v>
          </cell>
        </row>
        <row r="172">
          <cell r="A172" t="str">
            <v>5-1-01-01-005  ARTICULOS DE SEGURIDAD</v>
          </cell>
          <cell r="B172">
            <v>1083445</v>
          </cell>
          <cell r="C172">
            <v>0</v>
          </cell>
          <cell r="D172">
            <v>1083445</v>
          </cell>
          <cell r="E172">
            <v>0</v>
          </cell>
          <cell r="F172">
            <v>0</v>
          </cell>
          <cell r="G172">
            <v>0</v>
          </cell>
          <cell r="H172">
            <v>1083445</v>
          </cell>
          <cell r="I172">
            <v>0</v>
          </cell>
          <cell r="J172">
            <v>-1083445</v>
          </cell>
        </row>
        <row r="173">
          <cell r="A173" t="str">
            <v>5-1-01-02-002  INSUMOS BANOS</v>
          </cell>
          <cell r="B173">
            <v>1126803</v>
          </cell>
          <cell r="C173">
            <v>0</v>
          </cell>
          <cell r="D173">
            <v>1126803</v>
          </cell>
          <cell r="E173">
            <v>0</v>
          </cell>
          <cell r="F173">
            <v>0</v>
          </cell>
          <cell r="G173">
            <v>0</v>
          </cell>
          <cell r="H173">
            <v>1126803</v>
          </cell>
          <cell r="I173">
            <v>0</v>
          </cell>
          <cell r="J173">
            <v>-1126803</v>
          </cell>
        </row>
        <row r="174">
          <cell r="A174" t="str">
            <v>5-1-01-02-003  RETIRO BASURA O ESCOMBROS</v>
          </cell>
          <cell r="B174">
            <v>3625584</v>
          </cell>
          <cell r="C174">
            <v>0</v>
          </cell>
          <cell r="D174">
            <v>3625584</v>
          </cell>
          <cell r="E174">
            <v>0</v>
          </cell>
          <cell r="F174">
            <v>0</v>
          </cell>
          <cell r="G174">
            <v>0</v>
          </cell>
          <cell r="H174">
            <v>3625584</v>
          </cell>
          <cell r="I174">
            <v>0</v>
          </cell>
          <cell r="J174">
            <v>-3625584</v>
          </cell>
        </row>
        <row r="175">
          <cell r="A175" t="str">
            <v>5-1-01-03-001  SERVICIOS DE JARDINES Y PAISAJISMO</v>
          </cell>
          <cell r="B175">
            <v>2259530</v>
          </cell>
          <cell r="C175">
            <v>0</v>
          </cell>
          <cell r="D175">
            <v>2259530</v>
          </cell>
          <cell r="E175">
            <v>0</v>
          </cell>
          <cell r="F175">
            <v>0</v>
          </cell>
          <cell r="G175">
            <v>0</v>
          </cell>
          <cell r="H175">
            <v>2259530</v>
          </cell>
          <cell r="I175">
            <v>0</v>
          </cell>
          <cell r="J175">
            <v>-2259530</v>
          </cell>
        </row>
        <row r="176">
          <cell r="A176" t="str">
            <v>5-1-01-03-003  CONTROL DE PLAGAS</v>
          </cell>
          <cell r="B176">
            <v>1521851</v>
          </cell>
          <cell r="C176">
            <v>0</v>
          </cell>
          <cell r="D176">
            <v>1521851</v>
          </cell>
          <cell r="E176">
            <v>0</v>
          </cell>
          <cell r="F176">
            <v>0</v>
          </cell>
          <cell r="G176">
            <v>0</v>
          </cell>
          <cell r="H176">
            <v>1521851</v>
          </cell>
          <cell r="I176">
            <v>0</v>
          </cell>
          <cell r="J176">
            <v>-1521851</v>
          </cell>
        </row>
        <row r="177">
          <cell r="A177" t="str">
            <v>5-1-01-04-001  MANTENCION TRANSPORTE VERTICAL</v>
          </cell>
          <cell r="B177">
            <v>4938423</v>
          </cell>
          <cell r="C177">
            <v>0</v>
          </cell>
          <cell r="D177">
            <v>4938423</v>
          </cell>
          <cell r="E177">
            <v>0</v>
          </cell>
          <cell r="F177">
            <v>0</v>
          </cell>
          <cell r="G177">
            <v>0</v>
          </cell>
          <cell r="H177">
            <v>4938423</v>
          </cell>
          <cell r="I177">
            <v>0</v>
          </cell>
          <cell r="J177">
            <v>-4938423</v>
          </cell>
        </row>
        <row r="178">
          <cell r="A178" t="str">
            <v>5-1-01-04-002  MANTENCION TRANSPORTE VERTICAL CORRECTIVA</v>
          </cell>
          <cell r="B178">
            <v>261577</v>
          </cell>
          <cell r="C178">
            <v>0</v>
          </cell>
          <cell r="D178">
            <v>261577</v>
          </cell>
          <cell r="E178">
            <v>0</v>
          </cell>
          <cell r="F178">
            <v>0</v>
          </cell>
          <cell r="G178">
            <v>0</v>
          </cell>
          <cell r="H178">
            <v>261577</v>
          </cell>
          <cell r="I178">
            <v>0</v>
          </cell>
          <cell r="J178">
            <v>-261577</v>
          </cell>
        </row>
        <row r="179">
          <cell r="A179" t="str">
            <v>5-1-01-04-004  MANTENCION BOMBAS AP CORRECTIVA</v>
          </cell>
          <cell r="B179">
            <v>298800</v>
          </cell>
          <cell r="C179">
            <v>0</v>
          </cell>
          <cell r="D179">
            <v>298800</v>
          </cell>
          <cell r="E179">
            <v>0</v>
          </cell>
          <cell r="F179">
            <v>0</v>
          </cell>
          <cell r="G179">
            <v>0</v>
          </cell>
          <cell r="H179">
            <v>298800</v>
          </cell>
          <cell r="I179">
            <v>0</v>
          </cell>
          <cell r="J179">
            <v>-298800</v>
          </cell>
        </row>
        <row r="180">
          <cell r="A180" t="str">
            <v>5-1-01-04-007  MANTENCION CCTV</v>
          </cell>
          <cell r="B180">
            <v>2966624</v>
          </cell>
          <cell r="C180">
            <v>0</v>
          </cell>
          <cell r="D180">
            <v>2966624</v>
          </cell>
          <cell r="E180">
            <v>0</v>
          </cell>
          <cell r="F180">
            <v>0</v>
          </cell>
          <cell r="G180">
            <v>0</v>
          </cell>
          <cell r="H180">
            <v>2966624</v>
          </cell>
          <cell r="I180">
            <v>0</v>
          </cell>
          <cell r="J180">
            <v>-2966624</v>
          </cell>
        </row>
        <row r="181">
          <cell r="A181" t="str">
            <v>5-1-01-04-010  MANTENCION ALCANTARILLADOS</v>
          </cell>
          <cell r="B181">
            <v>320000</v>
          </cell>
          <cell r="C181">
            <v>240000</v>
          </cell>
          <cell r="D181">
            <v>80000</v>
          </cell>
          <cell r="E181">
            <v>0</v>
          </cell>
          <cell r="F181">
            <v>0</v>
          </cell>
          <cell r="G181">
            <v>0</v>
          </cell>
          <cell r="H181">
            <v>80000</v>
          </cell>
          <cell r="I181">
            <v>0</v>
          </cell>
          <cell r="J181">
            <v>-80000</v>
          </cell>
        </row>
        <row r="182">
          <cell r="A182" t="str">
            <v>5-1-01-04-011  MANTENCION GENERAL</v>
          </cell>
          <cell r="B182">
            <v>16841058</v>
          </cell>
          <cell r="C182">
            <v>0</v>
          </cell>
          <cell r="D182">
            <v>16841058</v>
          </cell>
          <cell r="E182">
            <v>0</v>
          </cell>
          <cell r="F182">
            <v>0</v>
          </cell>
          <cell r="G182">
            <v>0</v>
          </cell>
          <cell r="H182">
            <v>16841058</v>
          </cell>
          <cell r="I182">
            <v>0</v>
          </cell>
          <cell r="J182">
            <v>-16841058</v>
          </cell>
        </row>
        <row r="183">
          <cell r="A183" t="str">
            <v>5-1-01-04-013  MANTENCION ELECTRICA</v>
          </cell>
          <cell r="B183">
            <v>3764250</v>
          </cell>
          <cell r="C183">
            <v>0</v>
          </cell>
          <cell r="D183">
            <v>3764250</v>
          </cell>
          <cell r="E183">
            <v>0</v>
          </cell>
          <cell r="F183">
            <v>0</v>
          </cell>
          <cell r="G183">
            <v>0</v>
          </cell>
          <cell r="H183">
            <v>3764250</v>
          </cell>
          <cell r="I183">
            <v>0</v>
          </cell>
          <cell r="J183">
            <v>-3764250</v>
          </cell>
        </row>
        <row r="184">
          <cell r="A184" t="str">
            <v>5-1-01-04-014  MANTENCION VEHICULOS</v>
          </cell>
          <cell r="B184">
            <v>547032</v>
          </cell>
          <cell r="C184">
            <v>0</v>
          </cell>
          <cell r="D184">
            <v>547032</v>
          </cell>
          <cell r="E184">
            <v>0</v>
          </cell>
          <cell r="F184">
            <v>0</v>
          </cell>
          <cell r="G184">
            <v>0</v>
          </cell>
          <cell r="H184">
            <v>547032</v>
          </cell>
          <cell r="I184">
            <v>0</v>
          </cell>
          <cell r="J184">
            <v>-547032</v>
          </cell>
        </row>
        <row r="185">
          <cell r="A185" t="str">
            <v>5-1-01-04-018  MANTENCION ELECTRICA CORRECTIVA</v>
          </cell>
          <cell r="B185">
            <v>1428500</v>
          </cell>
          <cell r="C185">
            <v>0</v>
          </cell>
          <cell r="D185">
            <v>1428500</v>
          </cell>
          <cell r="E185">
            <v>0</v>
          </cell>
          <cell r="F185">
            <v>0</v>
          </cell>
          <cell r="G185">
            <v>0</v>
          </cell>
          <cell r="H185">
            <v>1428500</v>
          </cell>
          <cell r="I185">
            <v>0</v>
          </cell>
          <cell r="J185">
            <v>-1428500</v>
          </cell>
        </row>
        <row r="186">
          <cell r="A186" t="str">
            <v>5-1-01-05-005  INSUMOS DE ASEO</v>
          </cell>
          <cell r="B186">
            <v>79040</v>
          </cell>
          <cell r="C186">
            <v>0</v>
          </cell>
          <cell r="D186">
            <v>79040</v>
          </cell>
          <cell r="E186">
            <v>0</v>
          </cell>
          <cell r="F186">
            <v>0</v>
          </cell>
          <cell r="G186">
            <v>0</v>
          </cell>
          <cell r="H186">
            <v>79040</v>
          </cell>
          <cell r="I186">
            <v>0</v>
          </cell>
          <cell r="J186">
            <v>-79040</v>
          </cell>
        </row>
        <row r="187">
          <cell r="A187" t="str">
            <v>5-1-01-05-006  COMPRAS PETROLEO GAS BENCINA</v>
          </cell>
          <cell r="B187">
            <v>1051073</v>
          </cell>
          <cell r="C187">
            <v>0</v>
          </cell>
          <cell r="D187">
            <v>1051073</v>
          </cell>
          <cell r="E187">
            <v>0</v>
          </cell>
          <cell r="F187">
            <v>0</v>
          </cell>
          <cell r="G187">
            <v>0</v>
          </cell>
          <cell r="H187">
            <v>1051073</v>
          </cell>
          <cell r="I187">
            <v>0</v>
          </cell>
          <cell r="J187">
            <v>-1051073</v>
          </cell>
        </row>
        <row r="188">
          <cell r="A188" t="str">
            <v>5-1-01-06-001  CONSUMO AGUA COMUN</v>
          </cell>
          <cell r="B188">
            <v>7254250</v>
          </cell>
          <cell r="C188">
            <v>810943</v>
          </cell>
          <cell r="D188">
            <v>6443307</v>
          </cell>
          <cell r="E188">
            <v>0</v>
          </cell>
          <cell r="F188">
            <v>0</v>
          </cell>
          <cell r="G188">
            <v>0</v>
          </cell>
          <cell r="H188">
            <v>6443307</v>
          </cell>
          <cell r="I188">
            <v>0</v>
          </cell>
          <cell r="J188">
            <v>-6443307</v>
          </cell>
        </row>
        <row r="189">
          <cell r="A189" t="str">
            <v>5-1-01-06-002  CONSUMO ENERGIA COMUN</v>
          </cell>
          <cell r="B189">
            <v>94007532</v>
          </cell>
          <cell r="C189">
            <v>424</v>
          </cell>
          <cell r="D189">
            <v>94007108</v>
          </cell>
          <cell r="E189">
            <v>0</v>
          </cell>
          <cell r="F189">
            <v>0</v>
          </cell>
          <cell r="G189">
            <v>0</v>
          </cell>
          <cell r="H189">
            <v>94007108</v>
          </cell>
          <cell r="I189">
            <v>0</v>
          </cell>
          <cell r="J189">
            <v>-94007108</v>
          </cell>
        </row>
        <row r="190">
          <cell r="A190" t="str">
            <v>5-1-01-06-003  GASTO COMUN PROPIO</v>
          </cell>
          <cell r="B190">
            <v>910682</v>
          </cell>
          <cell r="C190">
            <v>236033</v>
          </cell>
          <cell r="D190">
            <v>674649</v>
          </cell>
          <cell r="E190">
            <v>0</v>
          </cell>
          <cell r="F190">
            <v>0</v>
          </cell>
          <cell r="G190">
            <v>0</v>
          </cell>
          <cell r="H190">
            <v>674649</v>
          </cell>
          <cell r="I190">
            <v>0</v>
          </cell>
          <cell r="J190">
            <v>-674649</v>
          </cell>
        </row>
        <row r="191">
          <cell r="A191" t="str">
            <v>5-1-01-06-004  SERVICIOS INFORMATICOS DE SISTEMAS</v>
          </cell>
          <cell r="B191">
            <v>3116368</v>
          </cell>
          <cell r="C191">
            <v>638981</v>
          </cell>
          <cell r="D191">
            <v>2477387</v>
          </cell>
          <cell r="E191">
            <v>0</v>
          </cell>
          <cell r="F191">
            <v>0</v>
          </cell>
          <cell r="G191">
            <v>0</v>
          </cell>
          <cell r="H191">
            <v>2477387</v>
          </cell>
          <cell r="I191">
            <v>0</v>
          </cell>
          <cell r="J191">
            <v>-2477387</v>
          </cell>
        </row>
        <row r="192">
          <cell r="A192" t="str">
            <v>5-1-01-07-001  TELEFONO</v>
          </cell>
          <cell r="B192">
            <v>275276</v>
          </cell>
          <cell r="C192">
            <v>0</v>
          </cell>
          <cell r="D192">
            <v>275276</v>
          </cell>
          <cell r="E192">
            <v>0</v>
          </cell>
          <cell r="F192">
            <v>0</v>
          </cell>
          <cell r="G192">
            <v>0</v>
          </cell>
          <cell r="H192">
            <v>275276</v>
          </cell>
          <cell r="I192">
            <v>0</v>
          </cell>
          <cell r="J192">
            <v>-275276</v>
          </cell>
        </row>
        <row r="193">
          <cell r="A193" t="str">
            <v>5-1-01-07-002  INTERNET</v>
          </cell>
          <cell r="B193">
            <v>2026840</v>
          </cell>
          <cell r="C193">
            <v>0</v>
          </cell>
          <cell r="D193">
            <v>2026840</v>
          </cell>
          <cell r="E193">
            <v>0</v>
          </cell>
          <cell r="F193">
            <v>0</v>
          </cell>
          <cell r="G193">
            <v>0</v>
          </cell>
          <cell r="H193">
            <v>2026840</v>
          </cell>
          <cell r="I193">
            <v>0</v>
          </cell>
          <cell r="J193">
            <v>-2026840</v>
          </cell>
        </row>
        <row r="194">
          <cell r="A194" t="str">
            <v>5-1-01-07-005  ARTICULOS DE OFICINA</v>
          </cell>
          <cell r="B194">
            <v>2378676</v>
          </cell>
          <cell r="C194">
            <v>238672</v>
          </cell>
          <cell r="D194">
            <v>2140004</v>
          </cell>
          <cell r="E194">
            <v>0</v>
          </cell>
          <cell r="F194">
            <v>0</v>
          </cell>
          <cell r="G194">
            <v>0</v>
          </cell>
          <cell r="H194">
            <v>2140004</v>
          </cell>
          <cell r="I194">
            <v>0</v>
          </cell>
          <cell r="J194">
            <v>-2140004</v>
          </cell>
        </row>
        <row r="195">
          <cell r="A195" t="str">
            <v>5-1-01-10-003  REMUNERACIONES TENS Y RRHH</v>
          </cell>
          <cell r="B195">
            <v>4767014</v>
          </cell>
          <cell r="C195">
            <v>0</v>
          </cell>
          <cell r="D195">
            <v>4767014</v>
          </cell>
          <cell r="E195">
            <v>0</v>
          </cell>
          <cell r="F195">
            <v>0</v>
          </cell>
          <cell r="G195">
            <v>0</v>
          </cell>
          <cell r="H195">
            <v>4767014</v>
          </cell>
          <cell r="I195">
            <v>0</v>
          </cell>
          <cell r="J195">
            <v>-4767014</v>
          </cell>
        </row>
        <row r="196">
          <cell r="A196" t="str">
            <v>5-1-01-11-001  HABILITACIÓN LOCALES OUTLET FLORIDA</v>
          </cell>
          <cell r="B196">
            <v>11120439</v>
          </cell>
          <cell r="C196">
            <v>1162523</v>
          </cell>
          <cell r="D196">
            <v>9957916</v>
          </cell>
          <cell r="E196">
            <v>0</v>
          </cell>
          <cell r="F196">
            <v>0</v>
          </cell>
          <cell r="G196">
            <v>0</v>
          </cell>
          <cell r="H196">
            <v>9957916</v>
          </cell>
          <cell r="I196">
            <v>0</v>
          </cell>
          <cell r="J196">
            <v>-9957916</v>
          </cell>
        </row>
        <row r="197">
          <cell r="A197" t="str">
            <v>5-1-01-11-030  HABILITACIONES GENERALES</v>
          </cell>
          <cell r="B197">
            <v>16890587</v>
          </cell>
          <cell r="C197">
            <v>0</v>
          </cell>
          <cell r="D197">
            <v>16890587</v>
          </cell>
          <cell r="E197">
            <v>0</v>
          </cell>
          <cell r="F197">
            <v>0</v>
          </cell>
          <cell r="G197">
            <v>0</v>
          </cell>
          <cell r="H197">
            <v>16890587</v>
          </cell>
          <cell r="I197">
            <v>0</v>
          </cell>
          <cell r="J197">
            <v>-16890587</v>
          </cell>
        </row>
        <row r="198">
          <cell r="A198" t="str">
            <v>5-1-03-01-001  PROMOCIONES MARKETING</v>
          </cell>
          <cell r="B198">
            <v>119986</v>
          </cell>
          <cell r="C198">
            <v>0</v>
          </cell>
          <cell r="D198">
            <v>119986</v>
          </cell>
          <cell r="E198">
            <v>0</v>
          </cell>
          <cell r="F198">
            <v>0</v>
          </cell>
          <cell r="G198">
            <v>0</v>
          </cell>
          <cell r="H198">
            <v>119986</v>
          </cell>
          <cell r="I198">
            <v>0</v>
          </cell>
          <cell r="J198">
            <v>-119986</v>
          </cell>
        </row>
        <row r="199">
          <cell r="A199" t="str">
            <v>5-1-03-01-004  PROMOCIONES VARIAS</v>
          </cell>
          <cell r="B199">
            <v>959283</v>
          </cell>
          <cell r="C199">
            <v>0</v>
          </cell>
          <cell r="D199">
            <v>959283</v>
          </cell>
          <cell r="E199">
            <v>0</v>
          </cell>
          <cell r="F199">
            <v>0</v>
          </cell>
          <cell r="G199">
            <v>0</v>
          </cell>
          <cell r="H199">
            <v>959283</v>
          </cell>
          <cell r="I199">
            <v>0</v>
          </cell>
          <cell r="J199">
            <v>-959283</v>
          </cell>
        </row>
        <row r="200">
          <cell r="A200" t="str">
            <v>5-1-03-01-005  GASTOS DERECHO AUTOR</v>
          </cell>
          <cell r="B200">
            <v>287781</v>
          </cell>
          <cell r="C200">
            <v>0</v>
          </cell>
          <cell r="D200">
            <v>287781</v>
          </cell>
          <cell r="E200">
            <v>0</v>
          </cell>
          <cell r="F200">
            <v>0</v>
          </cell>
          <cell r="G200">
            <v>0</v>
          </cell>
          <cell r="H200">
            <v>287781</v>
          </cell>
          <cell r="I200">
            <v>0</v>
          </cell>
          <cell r="J200">
            <v>-287781</v>
          </cell>
        </row>
        <row r="201">
          <cell r="A201" t="str">
            <v>5-2-01-01-001  REMUNERACIONES BRUTAS</v>
          </cell>
          <cell r="B201">
            <v>142783073</v>
          </cell>
          <cell r="C201">
            <v>0</v>
          </cell>
          <cell r="D201">
            <v>142783073</v>
          </cell>
          <cell r="E201">
            <v>0</v>
          </cell>
          <cell r="F201">
            <v>0</v>
          </cell>
          <cell r="G201">
            <v>0</v>
          </cell>
          <cell r="H201">
            <v>142783073</v>
          </cell>
          <cell r="I201">
            <v>0</v>
          </cell>
          <cell r="J201">
            <v>-142783073</v>
          </cell>
        </row>
        <row r="202">
          <cell r="A202" t="str">
            <v>5-2-01-01-002  APORTES PATRONALES</v>
          </cell>
          <cell r="B202">
            <v>2415167</v>
          </cell>
          <cell r="C202">
            <v>0</v>
          </cell>
          <cell r="D202">
            <v>2415167</v>
          </cell>
          <cell r="E202">
            <v>0</v>
          </cell>
          <cell r="F202">
            <v>0</v>
          </cell>
          <cell r="G202">
            <v>0</v>
          </cell>
          <cell r="H202">
            <v>2415167</v>
          </cell>
          <cell r="I202">
            <v>0</v>
          </cell>
          <cell r="J202">
            <v>-2415167</v>
          </cell>
        </row>
        <row r="203">
          <cell r="A203" t="str">
            <v>5-2-01-01-004  GRATIFICACIONES</v>
          </cell>
          <cell r="B203">
            <v>4481427</v>
          </cell>
          <cell r="C203">
            <v>0</v>
          </cell>
          <cell r="D203">
            <v>4481427</v>
          </cell>
          <cell r="E203">
            <v>0</v>
          </cell>
          <cell r="F203">
            <v>0</v>
          </cell>
          <cell r="G203">
            <v>0</v>
          </cell>
          <cell r="H203">
            <v>4481427</v>
          </cell>
          <cell r="I203">
            <v>0</v>
          </cell>
          <cell r="J203">
            <v>-4481427</v>
          </cell>
        </row>
        <row r="204">
          <cell r="A204" t="str">
            <v>5-2-01-01-006  OTROS NO IMPONIBLES</v>
          </cell>
          <cell r="B204">
            <v>3902147</v>
          </cell>
          <cell r="C204">
            <v>0</v>
          </cell>
          <cell r="D204">
            <v>3902147</v>
          </cell>
          <cell r="E204">
            <v>0</v>
          </cell>
          <cell r="F204">
            <v>0</v>
          </cell>
          <cell r="G204">
            <v>0</v>
          </cell>
          <cell r="H204">
            <v>3902147</v>
          </cell>
          <cell r="I204">
            <v>0</v>
          </cell>
          <cell r="J204">
            <v>-3902147</v>
          </cell>
        </row>
        <row r="205">
          <cell r="A205" t="str">
            <v>5-2-01-01-008  SEGURO COMPLEMENTARIO SALUD</v>
          </cell>
          <cell r="B205">
            <v>1469916</v>
          </cell>
          <cell r="C205">
            <v>296983</v>
          </cell>
          <cell r="D205">
            <v>1172933</v>
          </cell>
          <cell r="E205">
            <v>0</v>
          </cell>
          <cell r="F205">
            <v>0</v>
          </cell>
          <cell r="G205">
            <v>0</v>
          </cell>
          <cell r="H205">
            <v>1172933</v>
          </cell>
          <cell r="I205">
            <v>0</v>
          </cell>
          <cell r="J205">
            <v>-1172933</v>
          </cell>
        </row>
        <row r="206">
          <cell r="A206" t="str">
            <v>5-2-01-02-001  HONORARIOS CONTABLES</v>
          </cell>
          <cell r="B206">
            <v>350878</v>
          </cell>
          <cell r="C206">
            <v>0</v>
          </cell>
          <cell r="D206">
            <v>350878</v>
          </cell>
          <cell r="E206">
            <v>0</v>
          </cell>
          <cell r="F206">
            <v>0</v>
          </cell>
          <cell r="G206">
            <v>0</v>
          </cell>
          <cell r="H206">
            <v>350878</v>
          </cell>
          <cell r="I206">
            <v>0</v>
          </cell>
          <cell r="J206">
            <v>-350878</v>
          </cell>
        </row>
        <row r="207">
          <cell r="A207" t="str">
            <v>5-2-01-02-002  HONORARIOS SERVICIOS LEGALES</v>
          </cell>
          <cell r="B207">
            <v>4334836</v>
          </cell>
          <cell r="C207">
            <v>0</v>
          </cell>
          <cell r="D207">
            <v>4334836</v>
          </cell>
          <cell r="E207">
            <v>0</v>
          </cell>
          <cell r="F207">
            <v>0</v>
          </cell>
          <cell r="G207">
            <v>0</v>
          </cell>
          <cell r="H207">
            <v>4334836</v>
          </cell>
          <cell r="I207">
            <v>0</v>
          </cell>
          <cell r="J207">
            <v>-4334836</v>
          </cell>
        </row>
        <row r="208">
          <cell r="A208" t="str">
            <v>5-2-01-02-003  ASESORIAS Y CONSULTORIAS</v>
          </cell>
          <cell r="B208">
            <v>22886343</v>
          </cell>
          <cell r="C208">
            <v>0</v>
          </cell>
          <cell r="D208">
            <v>22886343</v>
          </cell>
          <cell r="E208">
            <v>0</v>
          </cell>
          <cell r="F208">
            <v>0</v>
          </cell>
          <cell r="G208">
            <v>0</v>
          </cell>
          <cell r="H208">
            <v>22886343</v>
          </cell>
          <cell r="I208">
            <v>0</v>
          </cell>
          <cell r="J208">
            <v>-22886343</v>
          </cell>
        </row>
        <row r="209">
          <cell r="A209" t="str">
            <v>5-2-01-02-004  SERVICIOS DE ASEO</v>
          </cell>
          <cell r="B209">
            <v>23195268</v>
          </cell>
          <cell r="C209">
            <v>590000</v>
          </cell>
          <cell r="D209">
            <v>22605268</v>
          </cell>
          <cell r="E209">
            <v>0</v>
          </cell>
          <cell r="F209">
            <v>0</v>
          </cell>
          <cell r="G209">
            <v>0</v>
          </cell>
          <cell r="H209">
            <v>22605268</v>
          </cell>
          <cell r="I209">
            <v>0</v>
          </cell>
          <cell r="J209">
            <v>-22605268</v>
          </cell>
        </row>
        <row r="210">
          <cell r="A210" t="str">
            <v>5-2-01-02-007  SERVICIOS DE PUBLICIDAD Y MARKETING</v>
          </cell>
          <cell r="B210">
            <v>17945140</v>
          </cell>
          <cell r="C210">
            <v>280000</v>
          </cell>
          <cell r="D210">
            <v>17665140</v>
          </cell>
          <cell r="E210">
            <v>0</v>
          </cell>
          <cell r="F210">
            <v>0</v>
          </cell>
          <cell r="G210">
            <v>0</v>
          </cell>
          <cell r="H210">
            <v>17665140</v>
          </cell>
          <cell r="I210">
            <v>0</v>
          </cell>
          <cell r="J210">
            <v>-17665140</v>
          </cell>
        </row>
        <row r="211">
          <cell r="A211" t="str">
            <v>5-2-01-02-011  PAGOS LEGALES Y DEMANDAS</v>
          </cell>
          <cell r="B211">
            <v>4000</v>
          </cell>
          <cell r="C211">
            <v>0</v>
          </cell>
          <cell r="D211">
            <v>4000</v>
          </cell>
          <cell r="E211">
            <v>0</v>
          </cell>
          <cell r="F211">
            <v>0</v>
          </cell>
          <cell r="G211">
            <v>0</v>
          </cell>
          <cell r="H211">
            <v>4000</v>
          </cell>
          <cell r="I211">
            <v>0</v>
          </cell>
          <cell r="J211">
            <v>-4000</v>
          </cell>
        </row>
        <row r="212">
          <cell r="A212" t="str">
            <v>5-2-01-03-002  GASTOS NOTARIALES</v>
          </cell>
          <cell r="B212">
            <v>58000</v>
          </cell>
          <cell r="C212">
            <v>0</v>
          </cell>
          <cell r="D212">
            <v>58000</v>
          </cell>
          <cell r="E212">
            <v>0</v>
          </cell>
          <cell r="F212">
            <v>0</v>
          </cell>
          <cell r="G212">
            <v>0</v>
          </cell>
          <cell r="H212">
            <v>58000</v>
          </cell>
          <cell r="I212">
            <v>0</v>
          </cell>
          <cell r="J212">
            <v>-58000</v>
          </cell>
        </row>
        <row r="213">
          <cell r="A213" t="str">
            <v>5-2-01-03-004  GASTO IVA PROPORCIONAL</v>
          </cell>
          <cell r="B213">
            <v>11800384</v>
          </cell>
          <cell r="C213">
            <v>0</v>
          </cell>
          <cell r="D213">
            <v>11800384</v>
          </cell>
          <cell r="E213">
            <v>0</v>
          </cell>
          <cell r="F213">
            <v>0</v>
          </cell>
          <cell r="G213">
            <v>0</v>
          </cell>
          <cell r="H213">
            <v>11800384</v>
          </cell>
          <cell r="I213">
            <v>0</v>
          </cell>
          <cell r="J213">
            <v>-11800384</v>
          </cell>
        </row>
        <row r="214">
          <cell r="A214" t="str">
            <v>5-2-01-03-006  GASTOS GENERALES</v>
          </cell>
          <cell r="B214">
            <v>2817443</v>
          </cell>
          <cell r="C214">
            <v>1000</v>
          </cell>
          <cell r="D214">
            <v>2816443</v>
          </cell>
          <cell r="E214">
            <v>0</v>
          </cell>
          <cell r="F214">
            <v>0</v>
          </cell>
          <cell r="G214">
            <v>0</v>
          </cell>
          <cell r="H214">
            <v>2816443</v>
          </cell>
          <cell r="I214">
            <v>0</v>
          </cell>
          <cell r="J214">
            <v>-2816443</v>
          </cell>
        </row>
        <row r="215">
          <cell r="A215" t="str">
            <v>5-2-01-05-001  GASTOS DE REPRESENTACION</v>
          </cell>
          <cell r="B215">
            <v>2286468</v>
          </cell>
          <cell r="C215">
            <v>0</v>
          </cell>
          <cell r="D215">
            <v>2286468</v>
          </cell>
          <cell r="E215">
            <v>0</v>
          </cell>
          <cell r="F215">
            <v>0</v>
          </cell>
          <cell r="G215">
            <v>0</v>
          </cell>
          <cell r="H215">
            <v>2286468</v>
          </cell>
          <cell r="I215">
            <v>0</v>
          </cell>
          <cell r="J215">
            <v>-2286468</v>
          </cell>
        </row>
        <row r="216">
          <cell r="A216" t="str">
            <v>5-2-01-06-001  ARRIENDOS</v>
          </cell>
          <cell r="B216">
            <v>4493963</v>
          </cell>
          <cell r="C216">
            <v>0</v>
          </cell>
          <cell r="D216">
            <v>4493963</v>
          </cell>
          <cell r="E216">
            <v>0</v>
          </cell>
          <cell r="F216">
            <v>0</v>
          </cell>
          <cell r="G216">
            <v>0</v>
          </cell>
          <cell r="H216">
            <v>4493963</v>
          </cell>
          <cell r="I216">
            <v>0</v>
          </cell>
          <cell r="J216">
            <v>-4493963</v>
          </cell>
        </row>
        <row r="217">
          <cell r="A217" t="str">
            <v>5-2-01-07-001  CONTRIBUCIONES</v>
          </cell>
          <cell r="B217">
            <v>7980617</v>
          </cell>
          <cell r="C217">
            <v>0</v>
          </cell>
          <cell r="D217">
            <v>7980617</v>
          </cell>
          <cell r="E217">
            <v>0</v>
          </cell>
          <cell r="F217">
            <v>0</v>
          </cell>
          <cell r="G217">
            <v>0</v>
          </cell>
          <cell r="H217">
            <v>7980617</v>
          </cell>
          <cell r="I217">
            <v>0</v>
          </cell>
          <cell r="J217">
            <v>-7980617</v>
          </cell>
        </row>
        <row r="218">
          <cell r="A218" t="str">
            <v>5-3-01-01-001  INTERESES LEASING</v>
          </cell>
          <cell r="B218">
            <v>75816472</v>
          </cell>
          <cell r="C218">
            <v>5</v>
          </cell>
          <cell r="D218">
            <v>75816467</v>
          </cell>
          <cell r="E218">
            <v>0</v>
          </cell>
          <cell r="F218">
            <v>0</v>
          </cell>
          <cell r="G218">
            <v>0</v>
          </cell>
          <cell r="H218">
            <v>75816467</v>
          </cell>
          <cell r="I218">
            <v>0</v>
          </cell>
          <cell r="J218">
            <v>-75816467</v>
          </cell>
        </row>
        <row r="219">
          <cell r="A219" t="str">
            <v>5-3-01-01-002  GASTOS BANCARIOS</v>
          </cell>
          <cell r="B219">
            <v>1035115</v>
          </cell>
          <cell r="C219">
            <v>0</v>
          </cell>
          <cell r="D219">
            <v>1035115</v>
          </cell>
          <cell r="E219">
            <v>0</v>
          </cell>
          <cell r="F219">
            <v>0</v>
          </cell>
          <cell r="G219">
            <v>0</v>
          </cell>
          <cell r="H219">
            <v>1035115</v>
          </cell>
          <cell r="I219">
            <v>0</v>
          </cell>
          <cell r="J219">
            <v>-1035115</v>
          </cell>
        </row>
        <row r="220">
          <cell r="A220" t="str">
            <v>5-3-01-01-003  MULTAS INTERESES Y REAJUSTES</v>
          </cell>
          <cell r="B220">
            <v>17858</v>
          </cell>
          <cell r="C220">
            <v>0</v>
          </cell>
          <cell r="D220">
            <v>17858</v>
          </cell>
          <cell r="E220">
            <v>0</v>
          </cell>
          <cell r="F220">
            <v>0</v>
          </cell>
          <cell r="G220">
            <v>0</v>
          </cell>
          <cell r="H220">
            <v>17858</v>
          </cell>
          <cell r="I220">
            <v>0</v>
          </cell>
          <cell r="J220">
            <v>-17858</v>
          </cell>
        </row>
        <row r="221">
          <cell r="A221" t="str">
            <v>5-3-01-01-005  GASTOS E INTERESES COMERCIALES</v>
          </cell>
          <cell r="B221">
            <v>12620326</v>
          </cell>
          <cell r="C221">
            <v>0</v>
          </cell>
          <cell r="D221">
            <v>12620326</v>
          </cell>
          <cell r="E221">
            <v>0</v>
          </cell>
          <cell r="F221">
            <v>0</v>
          </cell>
          <cell r="G221">
            <v>0</v>
          </cell>
          <cell r="H221">
            <v>12620326</v>
          </cell>
          <cell r="I221">
            <v>0</v>
          </cell>
          <cell r="J221">
            <v>-12620326</v>
          </cell>
        </row>
        <row r="222">
          <cell r="A222" t="str">
            <v>5-3-01-02-003  OTROS EGRESOS</v>
          </cell>
          <cell r="B222">
            <v>0</v>
          </cell>
          <cell r="C222">
            <v>469</v>
          </cell>
          <cell r="D222">
            <v>0</v>
          </cell>
          <cell r="E222">
            <v>469</v>
          </cell>
          <cell r="F222">
            <v>0</v>
          </cell>
          <cell r="G222">
            <v>0</v>
          </cell>
          <cell r="H222">
            <v>0</v>
          </cell>
          <cell r="I222">
            <v>469</v>
          </cell>
          <cell r="J222">
            <v>469</v>
          </cell>
        </row>
        <row r="223">
          <cell r="A223" t="str">
            <v>5-3-01-02-006  GANANCIA (PERDIDA) SWAP</v>
          </cell>
          <cell r="B223">
            <v>103297417</v>
          </cell>
          <cell r="C223">
            <v>0</v>
          </cell>
          <cell r="D223">
            <v>103297417</v>
          </cell>
          <cell r="E223">
            <v>0</v>
          </cell>
          <cell r="F223">
            <v>0</v>
          </cell>
          <cell r="G223">
            <v>0</v>
          </cell>
          <cell r="H223">
            <v>103297417</v>
          </cell>
          <cell r="I223">
            <v>0</v>
          </cell>
          <cell r="J223">
            <v>-103297417</v>
          </cell>
        </row>
        <row r="224">
          <cell r="A224" t="str">
            <v>5-3-01-02-007  MAYOR / MENOR VALOR DE INVERSIONES</v>
          </cell>
          <cell r="B224">
            <v>27128</v>
          </cell>
          <cell r="C224">
            <v>100742576</v>
          </cell>
          <cell r="D224">
            <v>0</v>
          </cell>
          <cell r="E224">
            <v>100715448</v>
          </cell>
          <cell r="F224">
            <v>0</v>
          </cell>
          <cell r="G224">
            <v>0</v>
          </cell>
          <cell r="H224">
            <v>0</v>
          </cell>
          <cell r="I224">
            <v>100715448</v>
          </cell>
          <cell r="J224">
            <v>100715448</v>
          </cell>
        </row>
        <row r="225">
          <cell r="A225" t="str">
            <v>5-3-01-02-013  GASTOS VIAJES EXTRANJERO</v>
          </cell>
          <cell r="B225">
            <v>39947771</v>
          </cell>
          <cell r="C225">
            <v>14364149</v>
          </cell>
          <cell r="D225">
            <v>25583622</v>
          </cell>
          <cell r="E225">
            <v>0</v>
          </cell>
          <cell r="F225">
            <v>0</v>
          </cell>
          <cell r="G225">
            <v>0</v>
          </cell>
          <cell r="H225">
            <v>25583622</v>
          </cell>
          <cell r="I225">
            <v>0</v>
          </cell>
          <cell r="J225">
            <v>-25583622</v>
          </cell>
        </row>
        <row r="226">
          <cell r="A226" t="str">
            <v>5-3-01-02-020  COSTO MANDATO INVERSIONES NUEVA SANTA FIDELMIRA LIMITADA</v>
          </cell>
          <cell r="B226">
            <v>36336669</v>
          </cell>
          <cell r="C226">
            <v>0</v>
          </cell>
          <cell r="D226">
            <v>36336669</v>
          </cell>
          <cell r="E226">
            <v>0</v>
          </cell>
          <cell r="F226">
            <v>0</v>
          </cell>
          <cell r="G226">
            <v>0</v>
          </cell>
          <cell r="H226">
            <v>36336669</v>
          </cell>
          <cell r="I226">
            <v>0</v>
          </cell>
          <cell r="J226">
            <v>-36336669</v>
          </cell>
        </row>
        <row r="227">
          <cell r="A227" t="str">
            <v>5-3-01-02-021  CASTIGO CLIENTE NO DOCUMENTADO</v>
          </cell>
          <cell r="B227">
            <v>5043600</v>
          </cell>
          <cell r="C227">
            <v>0</v>
          </cell>
          <cell r="D227">
            <v>5043600</v>
          </cell>
          <cell r="E227">
            <v>0</v>
          </cell>
          <cell r="F227">
            <v>0</v>
          </cell>
          <cell r="G227">
            <v>0</v>
          </cell>
          <cell r="H227">
            <v>5043600</v>
          </cell>
          <cell r="I227">
            <v>0</v>
          </cell>
          <cell r="J227">
            <v>-5043600</v>
          </cell>
        </row>
        <row r="228">
          <cell r="A228" t="str">
            <v>5-3-01-03-006  CORRECCION EN UF</v>
          </cell>
          <cell r="B228">
            <v>90099247</v>
          </cell>
          <cell r="C228">
            <v>19493735</v>
          </cell>
          <cell r="D228">
            <v>70605512</v>
          </cell>
          <cell r="E228">
            <v>0</v>
          </cell>
          <cell r="F228">
            <v>0</v>
          </cell>
          <cell r="G228">
            <v>0</v>
          </cell>
          <cell r="H228">
            <v>70605512</v>
          </cell>
          <cell r="I228">
            <v>0</v>
          </cell>
          <cell r="J228">
            <v>-70605512</v>
          </cell>
        </row>
        <row r="229">
          <cell r="A229" t="str">
            <v>5-3-01-03-011  VARIACION USD</v>
          </cell>
          <cell r="B229">
            <v>54514083</v>
          </cell>
          <cell r="C229">
            <v>53374244</v>
          </cell>
          <cell r="D229">
            <v>1139839</v>
          </cell>
          <cell r="E229">
            <v>0</v>
          </cell>
          <cell r="F229">
            <v>0</v>
          </cell>
          <cell r="G229">
            <v>0</v>
          </cell>
          <cell r="H229">
            <v>1139839</v>
          </cell>
          <cell r="I229">
            <v>0</v>
          </cell>
          <cell r="J229">
            <v>-1139839</v>
          </cell>
        </row>
        <row r="230">
          <cell r="A230" t="str">
            <v>5-3-01-04-006  DONACION CUERPO DE BOMBEROS LINARES</v>
          </cell>
          <cell r="B230">
            <v>1000000</v>
          </cell>
          <cell r="C230">
            <v>0</v>
          </cell>
          <cell r="D230">
            <v>1000000</v>
          </cell>
          <cell r="E230">
            <v>0</v>
          </cell>
          <cell r="F230">
            <v>0</v>
          </cell>
          <cell r="G230">
            <v>0</v>
          </cell>
          <cell r="H230">
            <v>1000000</v>
          </cell>
          <cell r="I230">
            <v>0</v>
          </cell>
          <cell r="J230">
            <v>-1000000</v>
          </cell>
        </row>
        <row r="231">
          <cell r="A231" t="str">
            <v>5-3-01-05-001  DEPRECIACIONES</v>
          </cell>
          <cell r="B231">
            <v>34428957</v>
          </cell>
          <cell r="C231">
            <v>0</v>
          </cell>
          <cell r="D231">
            <v>34428957</v>
          </cell>
          <cell r="E231">
            <v>0</v>
          </cell>
          <cell r="F231">
            <v>0</v>
          </cell>
          <cell r="G231">
            <v>0</v>
          </cell>
          <cell r="H231">
            <v>34428957</v>
          </cell>
          <cell r="I231">
            <v>0</v>
          </cell>
          <cell r="J231">
            <v>-34428957</v>
          </cell>
        </row>
        <row r="232">
          <cell r="A232" t="str">
            <v>5-3-01-05-002  DEPRECIACION BIENES EN LEASING</v>
          </cell>
          <cell r="B232">
            <v>611751862</v>
          </cell>
          <cell r="C232">
            <v>550576673</v>
          </cell>
          <cell r="D232">
            <v>61175189</v>
          </cell>
          <cell r="E232">
            <v>0</v>
          </cell>
          <cell r="F232">
            <v>0</v>
          </cell>
          <cell r="G232">
            <v>0</v>
          </cell>
          <cell r="H232">
            <v>61175189</v>
          </cell>
          <cell r="I232">
            <v>0</v>
          </cell>
          <cell r="J232">
            <v>-61175189</v>
          </cell>
        </row>
        <row r="233">
          <cell r="A233" t="str">
            <v>Sub-Totales</v>
          </cell>
          <cell r="B233">
            <v>10698782245</v>
          </cell>
          <cell r="C233">
            <v>10698782245</v>
          </cell>
          <cell r="D233">
            <v>1719009973</v>
          </cell>
          <cell r="E233">
            <v>1719009973</v>
          </cell>
          <cell r="F233">
            <v>798283821</v>
          </cell>
          <cell r="G233">
            <v>479487804</v>
          </cell>
          <cell r="H233">
            <v>920726152</v>
          </cell>
          <cell r="I233">
            <v>1239522169</v>
          </cell>
          <cell r="J233">
            <v>0</v>
          </cell>
        </row>
        <row r="234">
          <cell r="A234" t="str">
            <v>Pérdidas / Ganancias</v>
          </cell>
          <cell r="B234"/>
          <cell r="C234"/>
          <cell r="D234"/>
          <cell r="E234"/>
          <cell r="F234"/>
          <cell r="G234">
            <v>318796017</v>
          </cell>
          <cell r="H234">
            <v>318796017</v>
          </cell>
          <cell r="I234"/>
          <cell r="J234">
            <v>0</v>
          </cell>
        </row>
        <row r="235">
          <cell r="A235" t="str">
            <v>Total General</v>
          </cell>
          <cell r="B235">
            <v>10698782245</v>
          </cell>
          <cell r="C235">
            <v>10698782245</v>
          </cell>
          <cell r="D235">
            <v>1719009973</v>
          </cell>
          <cell r="E235">
            <v>1719009973</v>
          </cell>
          <cell r="F235">
            <v>798283821</v>
          </cell>
          <cell r="G235">
            <v>798283821</v>
          </cell>
          <cell r="H235">
            <v>1239522169</v>
          </cell>
          <cell r="I235">
            <v>1239522169</v>
          </cell>
          <cell r="J235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0"/>
  <sheetViews>
    <sheetView tabSelected="1" topLeftCell="B21" workbookViewId="0">
      <selection activeCell="P47" sqref="P47"/>
    </sheetView>
  </sheetViews>
  <sheetFormatPr baseColWidth="10" defaultColWidth="5.7109375" defaultRowHeight="12" x14ac:dyDescent="0.2"/>
  <cols>
    <col min="1" max="1" width="9.85546875" style="1" bestFit="1" customWidth="1"/>
    <col min="2" max="2" width="59.5703125" style="1" bestFit="1" customWidth="1"/>
    <col min="3" max="3" width="5.7109375" style="1"/>
    <col min="4" max="4" width="13.28515625" style="14" bestFit="1" customWidth="1"/>
    <col min="5" max="6" width="13.28515625" style="4" bestFit="1" customWidth="1"/>
    <col min="7" max="7" width="13.7109375" style="4" bestFit="1" customWidth="1"/>
    <col min="8" max="8" width="13.28515625" style="4" bestFit="1" customWidth="1"/>
    <col min="9" max="9" width="16" style="4" bestFit="1" customWidth="1"/>
    <col min="10" max="10" width="13.28515625" style="4" bestFit="1" customWidth="1"/>
    <col min="11" max="12" width="13.7109375" style="4" bestFit="1" customWidth="1"/>
    <col min="13" max="13" width="13.28515625" style="4" bestFit="1" customWidth="1"/>
    <col min="14" max="14" width="13.7109375" style="4" bestFit="1" customWidth="1"/>
    <col min="15" max="15" width="13.28515625" style="4" bestFit="1" customWidth="1"/>
    <col min="16" max="16" width="15.5703125" style="4" bestFit="1" customWidth="1"/>
    <col min="17" max="17" width="12.28515625" style="13" bestFit="1" customWidth="1"/>
    <col min="18" max="16384" width="5.7109375" style="1"/>
  </cols>
  <sheetData>
    <row r="1" spans="1:20" x14ac:dyDescent="0.2">
      <c r="D1" s="2"/>
      <c r="E1" s="3"/>
      <c r="F1" s="3"/>
      <c r="G1" s="3"/>
      <c r="H1" s="3"/>
      <c r="I1" s="3"/>
      <c r="P1" s="3"/>
      <c r="Q1" s="5"/>
      <c r="R1" s="6"/>
    </row>
    <row r="2" spans="1:20" ht="14.65" customHeight="1" x14ac:dyDescent="0.2">
      <c r="B2" s="238" t="s">
        <v>0</v>
      </c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7"/>
      <c r="R2" s="8"/>
      <c r="S2" s="8"/>
      <c r="T2" s="8"/>
    </row>
    <row r="3" spans="1:20" ht="14.65" customHeight="1" x14ac:dyDescent="0.2"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7"/>
      <c r="R3" s="8"/>
      <c r="S3" s="8"/>
      <c r="T3" s="8"/>
    </row>
    <row r="4" spans="1:20" x14ac:dyDescent="0.2">
      <c r="D4" s="2"/>
      <c r="E4" s="3"/>
      <c r="F4" s="3"/>
      <c r="G4" s="3"/>
      <c r="H4" s="3"/>
      <c r="I4" s="3"/>
      <c r="P4" s="3"/>
      <c r="Q4" s="5"/>
      <c r="R4" s="6"/>
    </row>
    <row r="6" spans="1:20" x14ac:dyDescent="0.2">
      <c r="B6" s="9" t="s">
        <v>1</v>
      </c>
      <c r="C6" s="9"/>
      <c r="D6" s="10" t="s">
        <v>2</v>
      </c>
      <c r="E6" s="11" t="s">
        <v>3</v>
      </c>
      <c r="F6" s="11" t="s">
        <v>4</v>
      </c>
      <c r="G6" s="11" t="s">
        <v>5</v>
      </c>
      <c r="H6" s="11" t="s">
        <v>6</v>
      </c>
      <c r="I6" s="11" t="s">
        <v>7</v>
      </c>
      <c r="J6" s="11" t="s">
        <v>8</v>
      </c>
      <c r="K6" s="12" t="s">
        <v>9</v>
      </c>
      <c r="L6" s="11" t="s">
        <v>10</v>
      </c>
      <c r="M6" s="12" t="s">
        <v>11</v>
      </c>
      <c r="N6" s="11" t="s">
        <v>12</v>
      </c>
      <c r="O6" s="12" t="s">
        <v>13</v>
      </c>
      <c r="P6" s="11" t="s">
        <v>14</v>
      </c>
    </row>
    <row r="7" spans="1:20" ht="12.75" thickBot="1" x14ac:dyDescent="0.25">
      <c r="K7" s="14"/>
    </row>
    <row r="8" spans="1:20" ht="12.75" thickBot="1" x14ac:dyDescent="0.25">
      <c r="B8" s="15" t="s">
        <v>15</v>
      </c>
      <c r="C8" s="9"/>
      <c r="D8" s="16" t="s">
        <v>16</v>
      </c>
      <c r="E8" s="17" t="s">
        <v>16</v>
      </c>
      <c r="F8" s="17" t="s">
        <v>16</v>
      </c>
      <c r="G8" s="17" t="s">
        <v>16</v>
      </c>
      <c r="H8" s="17" t="s">
        <v>16</v>
      </c>
      <c r="I8" s="17" t="s">
        <v>16</v>
      </c>
      <c r="J8" s="17" t="s">
        <v>16</v>
      </c>
      <c r="K8" s="16" t="s">
        <v>16</v>
      </c>
      <c r="L8" s="16" t="s">
        <v>16</v>
      </c>
      <c r="M8" s="16" t="s">
        <v>16</v>
      </c>
      <c r="N8" s="16" t="s">
        <v>16</v>
      </c>
      <c r="O8" s="16" t="s">
        <v>16</v>
      </c>
      <c r="P8" s="17" t="s">
        <v>16</v>
      </c>
    </row>
    <row r="9" spans="1:20" ht="12.75" thickBot="1" x14ac:dyDescent="0.25">
      <c r="B9" s="1" t="s">
        <v>17</v>
      </c>
      <c r="K9" s="14"/>
    </row>
    <row r="10" spans="1:20" x14ac:dyDescent="0.2">
      <c r="A10" s="18" t="s">
        <v>18</v>
      </c>
      <c r="B10" s="19" t="s">
        <v>19</v>
      </c>
      <c r="D10" s="20">
        <f>IFERROR(VLOOKUP(B10,'[1]MENSUAL 01-2025'!A:J,10,0),0)</f>
        <v>814351323</v>
      </c>
      <c r="E10" s="21">
        <f>IFERROR(VLOOKUP('[1]EEFF GESTIÓN S.R'!B10,'[1]MENSUAL 02-2025'!A:J,10,0),0)</f>
        <v>794440849</v>
      </c>
      <c r="F10" s="21">
        <f>IFERROR(VLOOKUP(B10,'[1]MENSUAL 03-2025'!A:J,10,0),0)</f>
        <v>809857525</v>
      </c>
      <c r="G10" s="21">
        <f>IFERROR(VLOOKUP(B10,'[1]MENSUAL 04-2025'!A:J,10,0),0)</f>
        <v>802160561</v>
      </c>
      <c r="H10" s="21">
        <f>IFERROR(VLOOKUP(B10,'[1]MENSUAL 05-2025'!A:J,10,0),0)</f>
        <v>795044622</v>
      </c>
      <c r="I10" s="21">
        <f>IFERROR(VLOOKUP(B10,'[1]MENSUAL 06-2025'!A:J,10,0),0)</f>
        <v>804787797</v>
      </c>
      <c r="J10" s="22">
        <f>IFERROR(VLOOKUP(B10,'[1]MENSUAL 07-2025'!A:J,10,0),0)</f>
        <v>815736982</v>
      </c>
      <c r="K10" s="23">
        <f>IFERROR(VLOOKUP(B10,'[1]MENSUAL 08-2025 '!A:J,10,0),0)</f>
        <v>807021125</v>
      </c>
      <c r="L10" s="22">
        <f>IFERROR(VLOOKUP(B10,'[1]MENSUAL 09-2025'!A:J,10,0),0)</f>
        <v>808105421</v>
      </c>
      <c r="M10" s="22">
        <f>IFERROR(VLOOKUP(B10,'[1]MENSUAL 10-2025'!A:J,10,0),0)</f>
        <v>804912277</v>
      </c>
      <c r="N10" s="22">
        <f>IFERROR(VLOOKUP(B10,'[1]MENSUAL 11-2025'!A:J,10,0),0)</f>
        <v>767319666</v>
      </c>
      <c r="O10" s="23">
        <f>IFERROR(VLOOKUP(B10,'[1]MENSUAL 12-2025'!A:J,10,0),0)</f>
        <v>769483286</v>
      </c>
      <c r="P10" s="24">
        <f t="shared" ref="P10:P18" si="0">SUM(D10:O10)</f>
        <v>9593221434</v>
      </c>
      <c r="Q10" s="5">
        <f>+O10-N10</f>
        <v>2163620</v>
      </c>
      <c r="R10" s="6"/>
      <c r="S10" s="25"/>
    </row>
    <row r="11" spans="1:20" x14ac:dyDescent="0.2">
      <c r="A11" s="18" t="s">
        <v>20</v>
      </c>
      <c r="B11" s="26" t="s">
        <v>21</v>
      </c>
      <c r="D11" s="27">
        <f>IFERROR(VLOOKUP(B11,'[1]MENSUAL 01-2025'!A:J,10,0),0)</f>
        <v>205412139</v>
      </c>
      <c r="E11" s="28">
        <f>IFERROR(VLOOKUP('[1]EEFF GESTIÓN S.R'!B11,'[1]MENSUAL 02-2025'!A:J,10,0),0)</f>
        <v>110862912</v>
      </c>
      <c r="F11" s="28">
        <f>IFERROR(VLOOKUP(B11,'[1]MENSUAL 03-2025'!A:J,10,0),0)</f>
        <v>121223805</v>
      </c>
      <c r="G11" s="28">
        <f>IFERROR(VLOOKUP(B11,'[1]MENSUAL 04-2025'!A:J,10,0),0)</f>
        <v>134653206</v>
      </c>
      <c r="H11" s="28">
        <f>IFERROR(VLOOKUP(B11,'[1]MENSUAL 05-2025'!A:J,10,0),0)</f>
        <v>112155078</v>
      </c>
      <c r="I11" s="28">
        <f>IFERROR(VLOOKUP(B11,'[1]MENSUAL 06-2025'!A:J,10,0),0)</f>
        <v>260814354</v>
      </c>
      <c r="J11" s="29">
        <f>IFERROR(VLOOKUP(B11,'[1]MENSUAL 07-2025'!A:J,10,0),0)</f>
        <v>113830570</v>
      </c>
      <c r="K11" s="30">
        <f>IFERROR(VLOOKUP(B11,'[1]MENSUAL 08-2025 '!A:J,10,0),0)</f>
        <v>132833462</v>
      </c>
      <c r="L11" s="29">
        <f>IFERROR(VLOOKUP(B11,'[1]MENSUAL 09-2025'!A:J,10,0),0)</f>
        <v>111454121</v>
      </c>
      <c r="M11" s="29">
        <f>IFERROR(VLOOKUP(B11,'[1]MENSUAL 10-2025'!A:J,10,0),0)</f>
        <v>109709461</v>
      </c>
      <c r="N11" s="29">
        <f>IFERROR(VLOOKUP(B11,'[1]MENSUAL 11-2025'!A:J,10,0),0)</f>
        <v>118080647</v>
      </c>
      <c r="O11" s="30">
        <f>IFERROR(VLOOKUP(B11,'[1]MENSUAL 12-2025'!A:J,10,0),0)</f>
        <v>187172032</v>
      </c>
      <c r="P11" s="31">
        <f t="shared" si="0"/>
        <v>1718201787</v>
      </c>
      <c r="Q11" s="5">
        <f t="shared" ref="Q11:Q75" si="1">+O11-N11</f>
        <v>69091385</v>
      </c>
      <c r="R11" s="32"/>
      <c r="S11" s="33"/>
    </row>
    <row r="12" spans="1:20" x14ac:dyDescent="0.2">
      <c r="A12" s="18" t="s">
        <v>22</v>
      </c>
      <c r="B12" s="26" t="s">
        <v>23</v>
      </c>
      <c r="D12" s="27">
        <f>IFERROR(VLOOKUP(B12,'[1]MENSUAL 01-2025'!A:J,10,0),0)</f>
        <v>7098283</v>
      </c>
      <c r="E12" s="28">
        <f>IFERROR(VLOOKUP('[1]EEFF GESTIÓN S.R'!B12,'[1]MENSUAL 02-2025'!A:J,10,0),0)</f>
        <v>6528732</v>
      </c>
      <c r="F12" s="28">
        <f>IFERROR(VLOOKUP(B12,'[1]MENSUAL 03-2025'!A:J,10,0),0)</f>
        <v>7422183</v>
      </c>
      <c r="G12" s="28">
        <f>IFERROR(VLOOKUP(B12,'[1]MENSUAL 04-2025'!A:J,10,0),0)</f>
        <v>7268186</v>
      </c>
      <c r="H12" s="28">
        <f>IFERROR(VLOOKUP(B12,'[1]MENSUAL 05-2025'!A:J,10,0),0)</f>
        <v>7207264</v>
      </c>
      <c r="I12" s="28">
        <f>IFERROR(VLOOKUP(B12,'[1]MENSUAL 06-2025'!A:J,10,0),0)</f>
        <v>6699925</v>
      </c>
      <c r="J12" s="29">
        <f>IFERROR(VLOOKUP(B12,'[1]MENSUAL 07-2025'!A:J,10,0),0)</f>
        <v>7877613</v>
      </c>
      <c r="K12" s="30">
        <f>IFERROR(VLOOKUP(B12,'[1]MENSUAL 08-2025 '!A:J,10,0),0)</f>
        <v>6196816</v>
      </c>
      <c r="L12" s="29">
        <f>IFERROR(VLOOKUP(B12,'[1]MENSUAL 09-2025'!A:J,10,0),0)</f>
        <v>10088962</v>
      </c>
      <c r="M12" s="29">
        <f>IFERROR(VLOOKUP(B12,'[1]MENSUAL 10-2025'!A:J,10,0),0)</f>
        <v>7118804</v>
      </c>
      <c r="N12" s="29">
        <f>IFERROR(VLOOKUP(B12,'[1]MENSUAL 11-2025'!A:J,10,0),0)</f>
        <v>9076994</v>
      </c>
      <c r="O12" s="30">
        <f>IFERROR(VLOOKUP(B12,'[1]MENSUAL 12-2025'!A:J,10,0),0)</f>
        <v>7543131</v>
      </c>
      <c r="P12" s="31">
        <f t="shared" si="0"/>
        <v>90126893</v>
      </c>
      <c r="Q12" s="5">
        <f t="shared" si="1"/>
        <v>-1533863</v>
      </c>
      <c r="R12" s="32"/>
    </row>
    <row r="13" spans="1:20" x14ac:dyDescent="0.2">
      <c r="A13" s="18" t="s">
        <v>24</v>
      </c>
      <c r="B13" s="26" t="s">
        <v>25</v>
      </c>
      <c r="D13" s="27">
        <f>IFERROR(VLOOKUP(B13,'[1]MENSUAL 01-2025'!A:J,10,0),0)</f>
        <v>131788340</v>
      </c>
      <c r="E13" s="28">
        <f>IFERROR(VLOOKUP('[1]EEFF GESTIÓN S.R'!B13,'[1]MENSUAL 02-2025'!A:J,10,0),0)</f>
        <v>126269485</v>
      </c>
      <c r="F13" s="28">
        <f>IFERROR(VLOOKUP(B13,'[1]MENSUAL 03-2025'!A:J,10,0),0)</f>
        <v>115927985</v>
      </c>
      <c r="G13" s="28">
        <f>IFERROR(VLOOKUP(B13,'[1]MENSUAL 04-2025'!A:J,10,0),0)</f>
        <v>122681128</v>
      </c>
      <c r="H13" s="28">
        <f>IFERROR(VLOOKUP(B13,'[1]MENSUAL 05-2025'!A:J,10,0),0)</f>
        <v>112319932</v>
      </c>
      <c r="I13" s="28">
        <f>IFERROR(VLOOKUP(B13,'[1]MENSUAL 06-2025'!A:J,10,0),0)</f>
        <v>108374608</v>
      </c>
      <c r="J13" s="29">
        <f>IFERROR(VLOOKUP(B13,'[1]MENSUAL 07-2025'!A:J,10,0),0)</f>
        <v>122556346</v>
      </c>
      <c r="K13" s="30">
        <f>IFERROR(VLOOKUP(B13,'[1]MENSUAL 08-2025 '!A:J,10,0),0)</f>
        <v>126761099</v>
      </c>
      <c r="L13" s="29">
        <f>IFERROR(VLOOKUP(B13,'[1]MENSUAL 09-2025'!A:J,10,0),0)</f>
        <v>107909698</v>
      </c>
      <c r="M13" s="29">
        <f>IFERROR(VLOOKUP(B13,'[1]MENSUAL 10-2025'!A:J,10,0),0)</f>
        <v>100361162</v>
      </c>
      <c r="N13" s="29">
        <f>IFERROR(VLOOKUP(B13,'[1]MENSUAL 11-2025'!A:J,10,0),0)</f>
        <v>113077686</v>
      </c>
      <c r="O13" s="30">
        <f>IFERROR(VLOOKUP(B13,'[1]MENSUAL 12-2025'!A:J,10,0),0)</f>
        <v>115287553</v>
      </c>
      <c r="P13" s="31">
        <f t="shared" si="0"/>
        <v>1403315022</v>
      </c>
      <c r="Q13" s="5">
        <f t="shared" si="1"/>
        <v>2209867</v>
      </c>
      <c r="R13" s="32"/>
    </row>
    <row r="14" spans="1:20" x14ac:dyDescent="0.2">
      <c r="A14" s="18" t="s">
        <v>26</v>
      </c>
      <c r="B14" s="26" t="s">
        <v>27</v>
      </c>
      <c r="D14" s="27">
        <f>IFERROR(VLOOKUP(B14,'[1]MENSUAL 01-2025'!A:J,10,0),0)</f>
        <v>2245058</v>
      </c>
      <c r="E14" s="28">
        <f>IFERROR(VLOOKUP('[1]EEFF GESTIÓN S.R'!B14,'[1]MENSUAL 02-2025'!A:J,10,0),0)</f>
        <v>2155313</v>
      </c>
      <c r="F14" s="28">
        <f>IFERROR(VLOOKUP(B14,'[1]MENSUAL 03-2025'!A:J,10,0),0)</f>
        <v>2499503</v>
      </c>
      <c r="G14" s="28">
        <f>IFERROR(VLOOKUP(B14,'[1]MENSUAL 04-2025'!A:J,10,0),0)</f>
        <v>1970188</v>
      </c>
      <c r="H14" s="28">
        <f>IFERROR(VLOOKUP(B14,'[1]MENSUAL 05-2025'!A:J,10,0),0)</f>
        <v>2402897</v>
      </c>
      <c r="I14" s="28">
        <f>IFERROR(VLOOKUP(B14,'[1]MENSUAL 06-2025'!A:J,10,0),0)</f>
        <v>1814268</v>
      </c>
      <c r="J14" s="29">
        <f>IFERROR(VLOOKUP(B14,'[1]MENSUAL 07-2025'!A:J,10,0),0)</f>
        <v>2295056</v>
      </c>
      <c r="K14" s="30">
        <f>IFERROR(VLOOKUP(B14,'[1]MENSUAL 08-2025 '!A:J,10,0),0)</f>
        <v>2000967</v>
      </c>
      <c r="L14" s="29">
        <f>IFERROR(VLOOKUP(B14,'[1]MENSUAL 09-2025'!A:J,10,0),0)</f>
        <v>2377958</v>
      </c>
      <c r="M14" s="29">
        <f>IFERROR(VLOOKUP(B14,'[1]MENSUAL 10-2025'!A:J,10,0),0)</f>
        <v>1889504</v>
      </c>
      <c r="N14" s="29">
        <f>IFERROR(VLOOKUP(B14,'[1]MENSUAL 11-2025'!A:J,10,0),0)</f>
        <v>2248972</v>
      </c>
      <c r="O14" s="30">
        <f>IFERROR(VLOOKUP(B14,'[1]MENSUAL 12-2025'!A:J,10,0),0)</f>
        <v>1844571</v>
      </c>
      <c r="P14" s="31">
        <f t="shared" si="0"/>
        <v>25744255</v>
      </c>
      <c r="Q14" s="5">
        <f t="shared" si="1"/>
        <v>-404401</v>
      </c>
      <c r="R14" s="32"/>
    </row>
    <row r="15" spans="1:20" x14ac:dyDescent="0.2">
      <c r="A15" s="18" t="s">
        <v>28</v>
      </c>
      <c r="B15" s="26" t="s">
        <v>29</v>
      </c>
      <c r="D15" s="27">
        <f>IFERROR(VLOOKUP(B15,'[1]MENSUAL 01-2025'!A:J,10,0),0)</f>
        <v>80794439</v>
      </c>
      <c r="E15" s="28">
        <f>IFERROR(VLOOKUP('[1]EEFF GESTIÓN S.R'!B15,'[1]MENSUAL 02-2025'!A:J,10,0),0)</f>
        <v>81791897</v>
      </c>
      <c r="F15" s="28">
        <f>IFERROR(VLOOKUP(B15,'[1]MENSUAL 03-2025'!A:J,10,0),0)</f>
        <v>80456044</v>
      </c>
      <c r="G15" s="28">
        <f>IFERROR(VLOOKUP(B15,'[1]MENSUAL 04-2025'!A:J,10,0),0)</f>
        <v>87044706</v>
      </c>
      <c r="H15" s="28">
        <f>IFERROR(VLOOKUP(B15,'[1]MENSUAL 05-2025'!A:J,10,0),0)</f>
        <v>78213922</v>
      </c>
      <c r="I15" s="28">
        <f>IFERROR(VLOOKUP(B15,'[1]MENSUAL 06-2025'!A:J,10,0),0)</f>
        <v>165650458</v>
      </c>
      <c r="J15" s="29">
        <f>IFERROR(VLOOKUP(B15,'[1]MENSUAL 07-2025'!A:J,10,0),0)</f>
        <v>81957862</v>
      </c>
      <c r="K15" s="30">
        <f>IFERROR(VLOOKUP(B15,'[1]MENSUAL 08-2025 '!A:J,10,0),0)</f>
        <v>86783021</v>
      </c>
      <c r="L15" s="29">
        <f>IFERROR(VLOOKUP(B15,'[1]MENSUAL 09-2025'!A:J,10,0),0)</f>
        <v>80565637</v>
      </c>
      <c r="M15" s="29">
        <f>IFERROR(VLOOKUP(B15,'[1]MENSUAL 10-2025'!A:J,10,0),0)</f>
        <v>84888615</v>
      </c>
      <c r="N15" s="29">
        <f>IFERROR(VLOOKUP(B15,'[1]MENSUAL 11-2025'!A:J,10,0),0)</f>
        <v>86121485</v>
      </c>
      <c r="O15" s="30">
        <f>IFERROR(VLOOKUP(B15,'[1]MENSUAL 12-2025'!A:J,10,0),0)</f>
        <v>90583155</v>
      </c>
      <c r="P15" s="31">
        <f t="shared" si="0"/>
        <v>1084851241</v>
      </c>
      <c r="Q15" s="5">
        <f t="shared" si="1"/>
        <v>4461670</v>
      </c>
      <c r="R15" s="32"/>
    </row>
    <row r="16" spans="1:20" x14ac:dyDescent="0.2">
      <c r="A16" s="18" t="s">
        <v>30</v>
      </c>
      <c r="B16" s="26" t="s">
        <v>31</v>
      </c>
      <c r="D16" s="27">
        <f>IFERROR(VLOOKUP(B16,'[1]MENSUAL 01-2025'!A:J,10,0),0)</f>
        <v>-140662996</v>
      </c>
      <c r="E16" s="28">
        <f>IFERROR(VLOOKUP('[1]EEFF GESTIÓN S.R'!B16,'[1]MENSUAL 02-2025'!A:J,10,0),0)</f>
        <v>0</v>
      </c>
      <c r="F16" s="28">
        <f>IFERROR(VLOOKUP(B16,'[1]MENSUAL 03-2025'!A:J,10,0),0)</f>
        <v>0</v>
      </c>
      <c r="G16" s="28">
        <f>IFERROR(VLOOKUP(B16,'[1]MENSUAL 04-2025'!A:J,10,0),0)</f>
        <v>232728103</v>
      </c>
      <c r="H16" s="28">
        <f>IFERROR(VLOOKUP(B16,'[1]MENSUAL 05-2025'!A:J,10,0),0)</f>
        <v>34500</v>
      </c>
      <c r="I16" s="28">
        <f>IFERROR(VLOOKUP(B16,'[1]MENSUAL 06-2025'!A:J,10,0),0)</f>
        <v>-232397622</v>
      </c>
      <c r="J16" s="29">
        <f>IFERROR(VLOOKUP(B16,'[1]MENSUAL 07-2025'!A:J,10,0),0)</f>
        <v>36221</v>
      </c>
      <c r="K16" s="30">
        <f>IFERROR(VLOOKUP(B16,'[1]MENSUAL 08-2025 '!A:J,10,0),0)</f>
        <v>43929</v>
      </c>
      <c r="L16" s="29">
        <f>IFERROR(VLOOKUP(B16,'[1]MENSUAL 09-2025'!A:J,10,0),0)</f>
        <v>44641</v>
      </c>
      <c r="M16" s="29">
        <f>IFERROR(VLOOKUP(B16,'[1]MENSUAL 10-2025'!A:J,10,0),0)</f>
        <v>93193</v>
      </c>
      <c r="N16" s="29">
        <f>IFERROR(VLOOKUP(B16,'[1]MENSUAL 11-2025'!A:J,10,0),0)</f>
        <v>68615</v>
      </c>
      <c r="O16" s="30">
        <f>IFERROR(VLOOKUP(B16,'[1]MENSUAL 12-2025'!A:J,10,0),0)</f>
        <v>2897198</v>
      </c>
      <c r="P16" s="31">
        <f t="shared" si="0"/>
        <v>-137114218</v>
      </c>
      <c r="Q16" s="5">
        <f t="shared" si="1"/>
        <v>2828583</v>
      </c>
      <c r="R16" s="32"/>
    </row>
    <row r="17" spans="1:21" x14ac:dyDescent="0.2">
      <c r="A17" s="18"/>
      <c r="B17" s="26" t="s">
        <v>32</v>
      </c>
      <c r="D17" s="27">
        <f>IFERROR(VLOOKUP(B17,'[1]MENSUAL 01-2025'!A:J,10,0),0)</f>
        <v>0</v>
      </c>
      <c r="E17" s="28">
        <f>IFERROR(VLOOKUP('[1]EEFF GESTIÓN S.R'!B17,'[1]MENSUAL 02-2025'!A:J,10,0),0)</f>
        <v>0</v>
      </c>
      <c r="F17" s="28">
        <f>IFERROR(VLOOKUP(B17,'[1]MENSUAL 03-2025'!A:J,10,0),0)</f>
        <v>0</v>
      </c>
      <c r="G17" s="28">
        <f>IFERROR(VLOOKUP(B17,'[1]MENSUAL 04-2025'!A:J,10,0),0)</f>
        <v>0</v>
      </c>
      <c r="H17" s="28">
        <f>IFERROR(VLOOKUP(B17,'[1]MENSUAL 05-2025'!A:J,10,0),0)</f>
        <v>0</v>
      </c>
      <c r="I17" s="28">
        <f>IFERROR(VLOOKUP(B17,'[1]MENSUAL 06-2025'!A:J,10,0),0)</f>
        <v>0</v>
      </c>
      <c r="J17" s="29">
        <f>IFERROR(VLOOKUP(B17,'[1]MENSUAL 07-2025'!A:J,10,0),0)</f>
        <v>1736931</v>
      </c>
      <c r="K17" s="30">
        <f>IFERROR(VLOOKUP(B17,'[1]MENSUAL 08-2025 '!A:J,10,0),0)</f>
        <v>1186221</v>
      </c>
      <c r="L17" s="29">
        <f>IFERROR(VLOOKUP(B17,'[1]MENSUAL 09-2025'!A:J,10,0),0)</f>
        <v>1237287</v>
      </c>
      <c r="M17" s="29">
        <f>IFERROR(VLOOKUP(B17,'[1]MENSUAL 10-2025'!A:J,10,0),0)</f>
        <v>1056157</v>
      </c>
      <c r="N17" s="29">
        <f>IFERROR(VLOOKUP(B17,'[1]MENSUAL 11-2025'!A:J,10,0),0)</f>
        <v>1103780</v>
      </c>
      <c r="O17" s="30">
        <f>IFERROR(VLOOKUP(B17,'[1]MENSUAL 12-2025'!A:J,10,0),0)</f>
        <v>1170879</v>
      </c>
      <c r="P17" s="31">
        <f t="shared" si="0"/>
        <v>7491255</v>
      </c>
      <c r="Q17" s="5">
        <f t="shared" si="1"/>
        <v>67099</v>
      </c>
      <c r="R17" s="32"/>
    </row>
    <row r="18" spans="1:21" ht="12.75" thickBot="1" x14ac:dyDescent="0.25">
      <c r="A18" s="18"/>
      <c r="B18" s="34" t="s">
        <v>33</v>
      </c>
      <c r="D18" s="35">
        <f>IFERROR(VLOOKUP(B18,'[1]MENSUAL 01-2025'!A:J,10,0),0)</f>
        <v>0</v>
      </c>
      <c r="E18" s="36">
        <f>IFERROR(VLOOKUP('[1]EEFF GESTIÓN S.R'!B18,'[1]MENSUAL 02-2025'!A:J,10,0),0)</f>
        <v>0</v>
      </c>
      <c r="F18" s="36">
        <f>IFERROR(VLOOKUP(B18,'[1]MENSUAL 03-2025'!A:J,10,0),0)</f>
        <v>0</v>
      </c>
      <c r="G18" s="36">
        <f>IFERROR(VLOOKUP(B18,'[1]MENSUAL 04-2025'!A:J,10,0),0)</f>
        <v>0</v>
      </c>
      <c r="H18" s="36">
        <f>IFERROR(VLOOKUP(B18,'[1]MENSUAL 05-2025'!A:J,10,0),0)</f>
        <v>0</v>
      </c>
      <c r="I18" s="36">
        <f>IFERROR(VLOOKUP(B18,'[1]MENSUAL 06-2025'!A:J,10,0),0)</f>
        <v>0</v>
      </c>
      <c r="J18" s="37">
        <f>IFERROR(VLOOKUP(B18,'[1]MENSUAL 07-2025'!A:J,10,0),0)</f>
        <v>2005156</v>
      </c>
      <c r="K18" s="38">
        <f>IFERROR(VLOOKUP(B18,'[1]MENSUAL 08-2025 '!A:J,10,0),0)</f>
        <v>0</v>
      </c>
      <c r="L18" s="37">
        <f>IFERROR(VLOOKUP(B18,'[1]MENSUAL 09-2025'!A:J,10,0),0)</f>
        <v>0</v>
      </c>
      <c r="M18" s="37">
        <f>IFERROR(VLOOKUP(B18,'[1]MENSUAL 10-2025'!A:J,10,0),0)</f>
        <v>0</v>
      </c>
      <c r="N18" s="37">
        <f>IFERROR(VLOOKUP(B18,'[1]MENSUAL 11-2025'!A:J,10,0),0)</f>
        <v>0</v>
      </c>
      <c r="O18" s="38">
        <f>IFERROR(VLOOKUP(B18,'[1]MENSUAL 12-2025'!A:J,10,0),0)</f>
        <v>0</v>
      </c>
      <c r="P18" s="39">
        <f t="shared" si="0"/>
        <v>2005156</v>
      </c>
      <c r="Q18" s="5">
        <f t="shared" si="1"/>
        <v>0</v>
      </c>
      <c r="R18" s="32"/>
    </row>
    <row r="19" spans="1:21" ht="11.45" customHeight="1" thickBot="1" x14ac:dyDescent="0.25">
      <c r="A19" s="18"/>
      <c r="D19" s="2"/>
      <c r="E19" s="2"/>
      <c r="F19" s="2"/>
      <c r="G19" s="2"/>
      <c r="H19" s="2"/>
      <c r="I19" s="2"/>
      <c r="J19" s="3"/>
      <c r="K19" s="2"/>
      <c r="L19" s="3"/>
      <c r="M19" s="3"/>
      <c r="N19" s="3"/>
      <c r="O19" s="3"/>
      <c r="P19" s="3"/>
      <c r="Q19" s="5">
        <f t="shared" si="1"/>
        <v>0</v>
      </c>
      <c r="R19" s="6"/>
    </row>
    <row r="20" spans="1:21" ht="12.75" thickBot="1" x14ac:dyDescent="0.25">
      <c r="B20" s="40" t="s">
        <v>34</v>
      </c>
      <c r="C20" s="41"/>
      <c r="D20" s="42">
        <f t="shared" ref="D20:M20" si="2">SUM(D10:D19)</f>
        <v>1101026586</v>
      </c>
      <c r="E20" s="42">
        <f t="shared" si="2"/>
        <v>1122049188</v>
      </c>
      <c r="F20" s="42">
        <f t="shared" si="2"/>
        <v>1137387045</v>
      </c>
      <c r="G20" s="42">
        <f t="shared" si="2"/>
        <v>1388506078</v>
      </c>
      <c r="H20" s="42">
        <f t="shared" si="2"/>
        <v>1107378215</v>
      </c>
      <c r="I20" s="42">
        <f t="shared" si="2"/>
        <v>1115743788</v>
      </c>
      <c r="J20" s="42">
        <f t="shared" si="2"/>
        <v>1148032737</v>
      </c>
      <c r="K20" s="42">
        <f t="shared" si="2"/>
        <v>1162826640</v>
      </c>
      <c r="L20" s="42">
        <f t="shared" si="2"/>
        <v>1121783725</v>
      </c>
      <c r="M20" s="42">
        <f t="shared" si="2"/>
        <v>1110029173</v>
      </c>
      <c r="N20" s="42">
        <f>SUM(N10:N18)</f>
        <v>1097097845</v>
      </c>
      <c r="O20" s="42">
        <f>SUM(O10:O18)</f>
        <v>1175981805</v>
      </c>
      <c r="P20" s="43">
        <f>SUM(P10:P19)</f>
        <v>13787842825</v>
      </c>
      <c r="Q20" s="5">
        <f t="shared" si="1"/>
        <v>78883960</v>
      </c>
      <c r="R20" s="6"/>
      <c r="S20" s="33"/>
      <c r="T20" s="25"/>
    </row>
    <row r="21" spans="1:21" ht="12.75" thickBot="1" x14ac:dyDescent="0.25">
      <c r="A21" s="18" t="s">
        <v>35</v>
      </c>
      <c r="D21" s="2"/>
      <c r="E21" s="2"/>
      <c r="F21" s="2"/>
      <c r="G21" s="2"/>
      <c r="H21" s="2"/>
      <c r="I21" s="2"/>
      <c r="J21" s="44"/>
      <c r="K21" s="2"/>
      <c r="L21" s="44"/>
      <c r="M21" s="44"/>
      <c r="N21" s="44"/>
      <c r="O21" s="44"/>
      <c r="P21" s="44"/>
      <c r="Q21" s="5">
        <f t="shared" si="1"/>
        <v>0</v>
      </c>
      <c r="R21" s="6"/>
      <c r="S21" s="33"/>
    </row>
    <row r="22" spans="1:21" ht="12.75" thickBot="1" x14ac:dyDescent="0.25">
      <c r="B22" s="15" t="s">
        <v>36</v>
      </c>
      <c r="C22" s="9"/>
      <c r="D22" s="2"/>
      <c r="E22" s="2"/>
      <c r="F22" s="2"/>
      <c r="G22" s="2"/>
      <c r="H22" s="2"/>
      <c r="I22" s="2"/>
      <c r="J22" s="44"/>
      <c r="K22" s="2"/>
      <c r="L22" s="44"/>
      <c r="M22" s="44"/>
      <c r="N22" s="44"/>
      <c r="O22" s="44"/>
      <c r="P22" s="44"/>
      <c r="Q22" s="5">
        <f t="shared" si="1"/>
        <v>0</v>
      </c>
      <c r="R22" s="6"/>
      <c r="T22" s="33"/>
      <c r="U22" s="45"/>
    </row>
    <row r="23" spans="1:21" ht="12.75" thickBot="1" x14ac:dyDescent="0.25">
      <c r="A23" s="18" t="s">
        <v>35</v>
      </c>
      <c r="D23" s="2"/>
      <c r="E23" s="2"/>
      <c r="F23" s="2"/>
      <c r="G23" s="2"/>
      <c r="H23" s="2"/>
      <c r="I23" s="2"/>
      <c r="J23" s="44"/>
      <c r="K23" s="2"/>
      <c r="L23" s="44"/>
      <c r="M23" s="44"/>
      <c r="N23" s="44"/>
      <c r="O23" s="44"/>
      <c r="P23" s="44"/>
      <c r="Q23" s="5">
        <f t="shared" si="1"/>
        <v>0</v>
      </c>
      <c r="R23" s="6"/>
      <c r="T23" s="33"/>
    </row>
    <row r="24" spans="1:21" x14ac:dyDescent="0.2">
      <c r="A24" s="18"/>
      <c r="B24" s="19" t="s">
        <v>37</v>
      </c>
      <c r="D24" s="21">
        <f>IFERROR(VLOOKUP(B24,'[1]MENSUAL 01-2025'!A:J,10,0),0)</f>
        <v>0</v>
      </c>
      <c r="E24" s="21">
        <f>IFERROR(VLOOKUP('[1]EEFF GESTIÓN S.R'!B24,'[1]MENSUAL 02-2025'!A:J,10,0),0)</f>
        <v>0</v>
      </c>
      <c r="F24" s="21">
        <f>IFERROR(VLOOKUP(B24,'[1]MENSUAL 03-2025'!A:J,10,0),0)</f>
        <v>0</v>
      </c>
      <c r="G24" s="21">
        <f>IFERROR(VLOOKUP(B24,'[1]MENSUAL 04-2025'!A:J,10,0),0)</f>
        <v>0</v>
      </c>
      <c r="H24" s="21">
        <f>IFERROR(VLOOKUP(B24,'[1]MENSUAL 05-2025'!A:J,10,0),0)</f>
        <v>0</v>
      </c>
      <c r="I24" s="21">
        <f>IFERROR(VLOOKUP(B24,'[1]MENSUAL 06-2025'!A:J,10,0),0)</f>
        <v>0</v>
      </c>
      <c r="J24" s="23">
        <f>IFERROR(VLOOKUP(B24,'[1]MENSUAL 07-2025'!A:J,10,0),0)</f>
        <v>0</v>
      </c>
      <c r="K24" s="22">
        <f>IFERROR(VLOOKUP(B24,'[1]MENSUAL 08-2025 '!A:J,10,0),0)</f>
        <v>0</v>
      </c>
      <c r="L24" s="46">
        <f>IFERROR(VLOOKUP(B24,'[1]MENSUAL 09-2025'!A:J,10,0),0)</f>
        <v>11747740</v>
      </c>
      <c r="M24" s="22">
        <f>IFERROR(VLOOKUP(B24,'[1]MENSUAL 10-2025'!A:J,10,0),0)</f>
        <v>18483</v>
      </c>
      <c r="N24" s="23">
        <f>IFERROR(VLOOKUP(B24,'[1]MENSUAL 11-2025'!A:J,10,0),0)</f>
        <v>18483</v>
      </c>
      <c r="O24" s="23">
        <f>IFERROR(VLOOKUP(B24,'[1]MENSUAL 12-2025'!A:J,10,0),0)</f>
        <v>0</v>
      </c>
      <c r="P24" s="47">
        <f t="shared" ref="P24:P35" si="3">SUM(D24:O24)</f>
        <v>11784706</v>
      </c>
      <c r="Q24" s="5">
        <f t="shared" si="1"/>
        <v>-18483</v>
      </c>
      <c r="R24" s="32"/>
    </row>
    <row r="25" spans="1:21" x14ac:dyDescent="0.2">
      <c r="A25" s="18" t="s">
        <v>38</v>
      </c>
      <c r="B25" s="26" t="s">
        <v>39</v>
      </c>
      <c r="D25" s="28">
        <f>IFERROR(VLOOKUP(B25,'[1]MENSUAL 01-2025'!A:J,10,0),0)</f>
        <v>0</v>
      </c>
      <c r="E25" s="28">
        <f>IFERROR(VLOOKUP('[1]EEFF GESTIÓN S.R'!B25,'[1]MENSUAL 02-2025'!A:J,10,0),0)</f>
        <v>12500000</v>
      </c>
      <c r="F25" s="28">
        <f>IFERROR(VLOOKUP(B25,'[1]MENSUAL 03-2025'!A:J,10,0),0)</f>
        <v>0</v>
      </c>
      <c r="G25" s="28">
        <f>IFERROR(VLOOKUP(B25,'[1]MENSUAL 04-2025'!A:J,10,0),0)</f>
        <v>0</v>
      </c>
      <c r="H25" s="28">
        <f>IFERROR(VLOOKUP(B25,'[1]MENSUAL 05-2025'!A:J,10,0),0)</f>
        <v>10000000</v>
      </c>
      <c r="I25" s="28">
        <f>IFERROR(VLOOKUP(B25,'[1]MENSUAL 06-2025'!A:J,10,0),0)</f>
        <v>20000000</v>
      </c>
      <c r="J25" s="48">
        <f>IFERROR(VLOOKUP(B25,'[1]MENSUAL 07-2025'!A:J,10,0),0)</f>
        <v>0</v>
      </c>
      <c r="K25" s="27">
        <f>IFERROR(VLOOKUP(B25,'[1]MENSUAL 08-2025 '!A:J,10,0),0)</f>
        <v>0</v>
      </c>
      <c r="L25" s="29">
        <f>IFERROR(VLOOKUP(B25,'[1]MENSUAL 09-2025'!A:J,10,0),0)</f>
        <v>7500000</v>
      </c>
      <c r="M25" s="29">
        <f>IFERROR(VLOOKUP(B25,'[1]MENSUAL 10-2025'!A:J,10,0),0)</f>
        <v>10000000</v>
      </c>
      <c r="N25" s="30">
        <f>IFERROR(VLOOKUP(B25,'[1]MENSUAL 11-2025'!A:J,10,0),0)</f>
        <v>10000000</v>
      </c>
      <c r="O25" s="30">
        <f>IFERROR(VLOOKUP(B25,'[1]MENSUAL 12-2025'!A:J,10,0),0)</f>
        <v>10000000</v>
      </c>
      <c r="P25" s="49">
        <f t="shared" si="3"/>
        <v>80000000</v>
      </c>
      <c r="Q25" s="5">
        <f t="shared" si="1"/>
        <v>0</v>
      </c>
      <c r="R25" s="6"/>
    </row>
    <row r="26" spans="1:21" x14ac:dyDescent="0.2">
      <c r="A26" s="18" t="s">
        <v>40</v>
      </c>
      <c r="B26" s="26" t="s">
        <v>41</v>
      </c>
      <c r="D26" s="28">
        <f>IFERROR(VLOOKUP(B26,'[1]MENSUAL 01-2025'!A:J,10,0),0)</f>
        <v>0</v>
      </c>
      <c r="E26" s="28">
        <f>IFERROR(VLOOKUP('[1]EEFF GESTIÓN S.R'!B26,'[1]MENSUAL 02-2025'!A:J,10,0),0)</f>
        <v>0</v>
      </c>
      <c r="F26" s="28">
        <f>IFERROR(VLOOKUP(B26,'[1]MENSUAL 03-2025'!A:J,10,0),0)</f>
        <v>0</v>
      </c>
      <c r="G26" s="28">
        <f>IFERROR(VLOOKUP(B26,'[1]MENSUAL 04-2025'!A:J,10,0),0)</f>
        <v>0</v>
      </c>
      <c r="H26" s="28">
        <f>IFERROR(VLOOKUP(B26,'[1]MENSUAL 05-2025'!A:J,10,0),0)</f>
        <v>0</v>
      </c>
      <c r="I26" s="28">
        <f>IFERROR(VLOOKUP(B26,'[1]MENSUAL 06-2025'!A:J,10,0),0)</f>
        <v>0</v>
      </c>
      <c r="J26" s="48">
        <f>IFERROR(VLOOKUP(B26,'[1]MENSUAL 07-2025'!A:J,10,0),0)</f>
        <v>0</v>
      </c>
      <c r="K26" s="27">
        <f>IFERROR(VLOOKUP(B26,'[1]MENSUAL 08-2025 '!A:J,10,0),0)</f>
        <v>1004220</v>
      </c>
      <c r="L26" s="29">
        <f>IFERROR(VLOOKUP(B26,'[1]MENSUAL 09-2025'!A:J,10,0),0)</f>
        <v>4335330</v>
      </c>
      <c r="M26" s="29">
        <f>IFERROR(VLOOKUP(B26,'[1]MENSUAL 10-2025'!A:J,10,0),0)</f>
        <v>3946204</v>
      </c>
      <c r="N26" s="30">
        <f>IFERROR(VLOOKUP(B26,'[1]MENSUAL 11-2025'!A:J,10,0),0)</f>
        <v>2528598</v>
      </c>
      <c r="O26" s="30">
        <f>IFERROR(VLOOKUP(B26,'[1]MENSUAL 12-2025'!A:J,10,0),0)</f>
        <v>0</v>
      </c>
      <c r="P26" s="49">
        <f t="shared" si="3"/>
        <v>11814352</v>
      </c>
      <c r="Q26" s="5">
        <f t="shared" si="1"/>
        <v>-2528598</v>
      </c>
      <c r="R26" s="6"/>
    </row>
    <row r="27" spans="1:21" x14ac:dyDescent="0.2">
      <c r="A27" s="18" t="s">
        <v>42</v>
      </c>
      <c r="B27" s="26" t="s">
        <v>43</v>
      </c>
      <c r="D27" s="28">
        <f>IFERROR(VLOOKUP(B27,'[1]MENSUAL 01-2025'!A:J,10,0),0)</f>
        <v>182491</v>
      </c>
      <c r="E27" s="28">
        <f>IFERROR(VLOOKUP('[1]EEFF GESTIÓN S.R'!B27,'[1]MENSUAL 02-2025'!A:J,10,0),0)</f>
        <v>182491</v>
      </c>
      <c r="F27" s="28">
        <f>IFERROR(VLOOKUP(B27,'[1]MENSUAL 03-2025'!A:J,10,0),0)</f>
        <v>0</v>
      </c>
      <c r="G27" s="28">
        <f>IFERROR(VLOOKUP(B27,'[1]MENSUAL 04-2025'!A:J,10,0),0)</f>
        <v>22148752</v>
      </c>
      <c r="H27" s="28">
        <f>IFERROR(VLOOKUP(B27,'[1]MENSUAL 05-2025'!A:J,10,0),0)</f>
        <v>866813</v>
      </c>
      <c r="I27" s="28">
        <f>IFERROR(VLOOKUP(B27,'[1]MENSUAL 06-2025'!A:J,10,0),0)</f>
        <v>12020918</v>
      </c>
      <c r="J27" s="48">
        <f>IFERROR(VLOOKUP(B27,'[1]MENSUAL 07-2025'!A:J,10,0),0)</f>
        <v>6384705</v>
      </c>
      <c r="K27" s="27">
        <f>IFERROR(VLOOKUP(B27,'[1]MENSUAL 08-2025 '!A:J,10,0),0)</f>
        <v>6442980</v>
      </c>
      <c r="L27" s="29">
        <f>IFERROR(VLOOKUP(B27,'[1]MENSUAL 09-2025'!A:J,10,0),0)</f>
        <v>6395443</v>
      </c>
      <c r="M27" s="29">
        <f>IFERROR(VLOOKUP(B27,'[1]MENSUAL 10-2025'!A:J,10,0),0)</f>
        <v>6532738</v>
      </c>
      <c r="N27" s="30">
        <f>IFERROR(VLOOKUP(B27,'[1]MENSUAL 11-2025'!A:J,10,0),0)</f>
        <v>6413276</v>
      </c>
      <c r="O27" s="30">
        <f>IFERROR(VLOOKUP(B27,'[1]MENSUAL 12-2025'!A:J,10,0),0)</f>
        <v>6303059</v>
      </c>
      <c r="P27" s="49">
        <f t="shared" si="3"/>
        <v>73873666</v>
      </c>
      <c r="Q27" s="5">
        <f t="shared" si="1"/>
        <v>-110217</v>
      </c>
      <c r="R27" s="6"/>
    </row>
    <row r="28" spans="1:21" x14ac:dyDescent="0.2">
      <c r="A28" s="18" t="s">
        <v>44</v>
      </c>
      <c r="B28" s="26" t="s">
        <v>45</v>
      </c>
      <c r="D28" s="28">
        <f>IFERROR(VLOOKUP(B28,'[1]MENSUAL 01-2025'!A:J,10,0),0)</f>
        <v>1358450</v>
      </c>
      <c r="E28" s="28">
        <f>IFERROR(VLOOKUP('[1]EEFF GESTIÓN S.R'!B28,'[1]MENSUAL 02-2025'!A:J,10,0),0)</f>
        <v>1444192</v>
      </c>
      <c r="F28" s="28">
        <f>IFERROR(VLOOKUP(B28,'[1]MENSUAL 03-2025'!A:J,10,0),0)</f>
        <v>598677</v>
      </c>
      <c r="G28" s="28">
        <f>IFERROR(VLOOKUP(B28,'[1]MENSUAL 04-2025'!A:J,10,0),0)</f>
        <v>432918</v>
      </c>
      <c r="H28" s="28">
        <f>IFERROR(VLOOKUP(B28,'[1]MENSUAL 05-2025'!A:J,10,0),0)</f>
        <v>0</v>
      </c>
      <c r="I28" s="28">
        <f>IFERROR(VLOOKUP(B28,'[1]MENSUAL 06-2025'!A:J,10,0),0)</f>
        <v>0</v>
      </c>
      <c r="J28" s="48">
        <f>IFERROR(VLOOKUP(B28,'[1]MENSUAL 07-2025'!A:J,10,0),0)</f>
        <v>0</v>
      </c>
      <c r="K28" s="27">
        <f>IFERROR(VLOOKUP(B28,'[1]MENSUAL 08-2025 '!A:J,10,0),0)</f>
        <v>667851</v>
      </c>
      <c r="L28" s="29">
        <f>IFERROR(VLOOKUP(B28,'[1]MENSUAL 09-2025'!A:J,10,0),0)</f>
        <v>796647</v>
      </c>
      <c r="M28" s="29">
        <f>IFERROR(VLOOKUP(B28,'[1]MENSUAL 10-2025'!A:J,10,0),0)</f>
        <v>658437</v>
      </c>
      <c r="N28" s="30">
        <f>IFERROR(VLOOKUP(B28,'[1]MENSUAL 11-2025'!A:J,10,0),0)</f>
        <v>676005</v>
      </c>
      <c r="O28" s="30">
        <f>IFERROR(VLOOKUP(B28,'[1]MENSUAL 12-2025'!A:J,10,0),0)</f>
        <v>681636</v>
      </c>
      <c r="P28" s="49">
        <f t="shared" si="3"/>
        <v>7314813</v>
      </c>
      <c r="Q28" s="5">
        <f t="shared" si="1"/>
        <v>5631</v>
      </c>
      <c r="R28" s="6"/>
    </row>
    <row r="29" spans="1:21" x14ac:dyDescent="0.2">
      <c r="A29" s="18" t="s">
        <v>46</v>
      </c>
      <c r="B29" s="26" t="s">
        <v>47</v>
      </c>
      <c r="D29" s="28">
        <f>IFERROR(VLOOKUP(B29,'[1]MENSUAL 01-2025'!A:J,10,0),0)</f>
        <v>0</v>
      </c>
      <c r="E29" s="28">
        <f>IFERROR(VLOOKUP('[1]EEFF GESTIÓN S.R'!B29,'[1]MENSUAL 02-2025'!A:J,10,0),0)</f>
        <v>15962400</v>
      </c>
      <c r="F29" s="28">
        <f>IFERROR(VLOOKUP(B29,'[1]MENSUAL 03-2025'!A:J,10,0),0)</f>
        <v>0</v>
      </c>
      <c r="G29" s="28">
        <f>IFERROR(VLOOKUP(B29,'[1]MENSUAL 04-2025'!A:J,10,0),0)</f>
        <v>15962400</v>
      </c>
      <c r="H29" s="28">
        <f>IFERROR(VLOOKUP(B29,'[1]MENSUAL 05-2025'!A:J,10,0),0)</f>
        <v>0</v>
      </c>
      <c r="I29" s="28">
        <f>IFERROR(VLOOKUP(B29,'[1]MENSUAL 06-2025'!A:J,10,0),0)</f>
        <v>0</v>
      </c>
      <c r="J29" s="48">
        <f>IFERROR(VLOOKUP(B29,'[1]MENSUAL 07-2025'!A:J,10,0),0)</f>
        <v>0</v>
      </c>
      <c r="K29" s="27">
        <f>IFERROR(VLOOKUP(B29,'[1]MENSUAL 08-2025 '!A:J,10,0),0)</f>
        <v>8511600</v>
      </c>
      <c r="L29" s="29">
        <f>IFERROR(VLOOKUP(B29,'[1]MENSUAL 09-2025'!A:J,10,0),0)</f>
        <v>0</v>
      </c>
      <c r="M29" s="29">
        <f>IFERROR(VLOOKUP(B29,'[1]MENSUAL 10-2025'!A:J,10,0),0)</f>
        <v>0</v>
      </c>
      <c r="N29" s="30">
        <f>IFERROR(VLOOKUP(B29,'[1]MENSUAL 11-2025'!A:J,10,0),0)</f>
        <v>8000000</v>
      </c>
      <c r="O29" s="30">
        <f>IFERROR(VLOOKUP(B29,'[1]MENSUAL 12-2025'!A:J,10,0),0)</f>
        <v>0</v>
      </c>
      <c r="P29" s="49">
        <f t="shared" si="3"/>
        <v>48436400</v>
      </c>
      <c r="Q29" s="5">
        <f t="shared" si="1"/>
        <v>-8000000</v>
      </c>
      <c r="R29" s="6"/>
    </row>
    <row r="30" spans="1:21" x14ac:dyDescent="0.2">
      <c r="B30" s="26" t="s">
        <v>48</v>
      </c>
      <c r="D30" s="28">
        <f>IFERROR(VLOOKUP(B30,'[1]MENSUAL 01-2025'!A:J,10,0),0)</f>
        <v>0</v>
      </c>
      <c r="E30" s="28">
        <f>IFERROR(VLOOKUP('[1]EEFF GESTIÓN S.R'!B30,'[1]MENSUAL 02-2025'!A:J,10,0),0)</f>
        <v>0</v>
      </c>
      <c r="F30" s="28">
        <f>IFERROR(VLOOKUP(B30,'[1]MENSUAL 03-2025'!A:J,10,0),0)</f>
        <v>4556890</v>
      </c>
      <c r="G30" s="28">
        <f>IFERROR(VLOOKUP(B30,'[1]MENSUAL 04-2025'!A:J,10,0),0)</f>
        <v>22433920</v>
      </c>
      <c r="H30" s="28">
        <f>IFERROR(VLOOKUP(B30,'[1]MENSUAL 05-2025'!A:J,10,0),0)</f>
        <v>0</v>
      </c>
      <c r="I30" s="28">
        <f>IFERROR(VLOOKUP(B30,'[1]MENSUAL 06-2025'!A:J,10,0),0)</f>
        <v>4556890</v>
      </c>
      <c r="J30" s="48">
        <f>IFERROR(VLOOKUP(B30,'[1]MENSUAL 07-2025'!A:J,10,0),0)</f>
        <v>0</v>
      </c>
      <c r="K30" s="27">
        <f>IFERROR(VLOOKUP(B30,'[1]MENSUAL 08-2025 '!A:J,10,0),0)</f>
        <v>0</v>
      </c>
      <c r="L30" s="29">
        <f>IFERROR(VLOOKUP(B30,'[1]MENSUAL 09-2025'!A:J,10,0),0)</f>
        <v>0</v>
      </c>
      <c r="M30" s="29">
        <f>IFERROR(VLOOKUP(B30,'[1]MENSUAL 10-2025'!A:J,10,0),0)</f>
        <v>5959010</v>
      </c>
      <c r="N30" s="30">
        <f>IFERROR(VLOOKUP(B30,'[1]MENSUAL 11-2025'!A:J,10,0),0)</f>
        <v>0</v>
      </c>
      <c r="O30" s="30">
        <f>IFERROR(VLOOKUP(B30,'[1]MENSUAL 12-2025'!A:J,10,0),0)</f>
        <v>5959010</v>
      </c>
      <c r="P30" s="49">
        <f t="shared" si="3"/>
        <v>43465720</v>
      </c>
      <c r="Q30" s="5">
        <f t="shared" si="1"/>
        <v>5959010</v>
      </c>
      <c r="R30" s="6"/>
    </row>
    <row r="31" spans="1:21" x14ac:dyDescent="0.2">
      <c r="B31" s="26" t="s">
        <v>49</v>
      </c>
      <c r="D31" s="28">
        <f>IFERROR(VLOOKUP(B31,'[1]MENSUAL 01-2025'!A:J,10,0),0)</f>
        <v>0</v>
      </c>
      <c r="E31" s="28">
        <f>IFERROR(VLOOKUP('[1]EEFF GESTIÓN S.R'!B31,'[1]MENSUAL 02-2025'!A:J,10,0),0)</f>
        <v>0</v>
      </c>
      <c r="F31" s="28">
        <f>IFERROR(VLOOKUP(B31,'[1]MENSUAL 03-2025'!A:J,10,0),0)</f>
        <v>0</v>
      </c>
      <c r="G31" s="28">
        <f>IFERROR(VLOOKUP(B31,'[1]MENSUAL 04-2025'!A:J,10,0),0)</f>
        <v>0</v>
      </c>
      <c r="H31" s="28">
        <f>IFERROR(VLOOKUP(B31,'[1]MENSUAL 05-2025'!A:J,10,0),0)</f>
        <v>0</v>
      </c>
      <c r="I31" s="28">
        <f>IFERROR(VLOOKUP(B31,'[1]MENSUAL 06-2025'!A:J,10,0),0)</f>
        <v>0</v>
      </c>
      <c r="J31" s="48">
        <f>IFERROR(VLOOKUP(B31,'[1]MENSUAL 07-2025'!A:J,10,0),0)</f>
        <v>0</v>
      </c>
      <c r="K31" s="27">
        <f>IFERROR(VLOOKUP(B31,'[1]MENSUAL 08-2025 '!A:J,10,0),0)</f>
        <v>46761050</v>
      </c>
      <c r="L31" s="29">
        <f>IFERROR(VLOOKUP(B31,'[1]MENSUAL 09-2025'!A:J,10,0),0)</f>
        <v>0</v>
      </c>
      <c r="M31" s="29">
        <f>IFERROR(VLOOKUP(B31,'[1]MENSUAL 10-2025'!A:J,10,0),0)</f>
        <v>0</v>
      </c>
      <c r="N31" s="30">
        <f>IFERROR(VLOOKUP(B31,'[1]MENSUAL 11-2025'!A:J,10,0),0)</f>
        <v>0</v>
      </c>
      <c r="O31" s="30">
        <f>IFERROR(VLOOKUP(B31,'[1]MENSUAL 12-2025'!A:J,10,0),0)</f>
        <v>2171546</v>
      </c>
      <c r="P31" s="50">
        <f t="shared" si="3"/>
        <v>48932596</v>
      </c>
      <c r="Q31" s="5">
        <f t="shared" si="1"/>
        <v>2171546</v>
      </c>
      <c r="R31" s="6"/>
    </row>
    <row r="32" spans="1:21" x14ac:dyDescent="0.2">
      <c r="B32" s="26" t="s">
        <v>50</v>
      </c>
      <c r="D32" s="28">
        <f>IFERROR(VLOOKUP(B32,'[1]MENSUAL 01-2025'!A:J,10,0),0)</f>
        <v>0</v>
      </c>
      <c r="E32" s="28">
        <f>IFERROR(VLOOKUP('[1]EEFF GESTIÓN S.R'!B32,'[1]MENSUAL 02-2025'!A:J,10,0),0)</f>
        <v>0</v>
      </c>
      <c r="F32" s="28">
        <f>IFERROR(VLOOKUP(B32,'[1]MENSUAL 03-2025'!A:J,10,0),0)</f>
        <v>0</v>
      </c>
      <c r="G32" s="28">
        <f>IFERROR(VLOOKUP(B32,'[1]MENSUAL 04-2025'!A:J,10,0),0)</f>
        <v>0</v>
      </c>
      <c r="H32" s="28">
        <f>IFERROR(VLOOKUP(B32,'[1]MENSUAL 05-2025'!A:J,10,0),0)</f>
        <v>2050000</v>
      </c>
      <c r="I32" s="28">
        <f>IFERROR(VLOOKUP(B32,'[1]MENSUAL 06-2025'!A:J,10,0),0)</f>
        <v>0</v>
      </c>
      <c r="J32" s="48">
        <f>IFERROR(VLOOKUP(B32,'[1]MENSUAL 07-2025'!A:J,10,0),0)</f>
        <v>0</v>
      </c>
      <c r="K32" s="27">
        <f>IFERROR(VLOOKUP(B32,'[1]MENSUAL 08-2025 '!A:J,10,0),0)</f>
        <v>512500</v>
      </c>
      <c r="L32" s="29">
        <f>IFERROR(VLOOKUP(B32,'[1]MENSUAL 09-2025'!A:J,10,0),0)</f>
        <v>0</v>
      </c>
      <c r="M32" s="29">
        <f>IFERROR(VLOOKUP(B32,'[1]MENSUAL 10-2025'!A:J,10,0),0)</f>
        <v>0</v>
      </c>
      <c r="N32" s="30">
        <f>IFERROR(VLOOKUP(B32,'[1]MENSUAL 11-2025'!A:J,10,0),0)</f>
        <v>0</v>
      </c>
      <c r="O32" s="30">
        <f>IFERROR(VLOOKUP(B32,'[1]MENSUAL 12-2025'!A:J,10,0),0)</f>
        <v>0</v>
      </c>
      <c r="P32" s="50">
        <f t="shared" si="3"/>
        <v>2562500</v>
      </c>
      <c r="Q32" s="5">
        <f t="shared" si="1"/>
        <v>0</v>
      </c>
      <c r="R32" s="6"/>
    </row>
    <row r="33" spans="1:20" x14ac:dyDescent="0.2">
      <c r="B33" s="26" t="s">
        <v>51</v>
      </c>
      <c r="D33" s="28">
        <f>IFERROR(VLOOKUP(B33,'[1]MENSUAL 01-2025'!A:J,10,0),0)</f>
        <v>1554319</v>
      </c>
      <c r="E33" s="28">
        <f>IFERROR(VLOOKUP('[1]EEFF GESTIÓN S.R'!B33,'[1]MENSUAL 02-2025'!A:J,10,0),0)</f>
        <v>1552943</v>
      </c>
      <c r="F33" s="28">
        <f>IFERROR(VLOOKUP(B33,'[1]MENSUAL 03-2025'!A:J,10,0),0)</f>
        <v>1561415</v>
      </c>
      <c r="G33" s="28">
        <f>IFERROR(VLOOKUP(B33,'[1]MENSUAL 04-2025'!A:J,10,0),0)</f>
        <v>1566130</v>
      </c>
      <c r="H33" s="28">
        <f>IFERROR(VLOOKUP(B33,'[1]MENSUAL 05-2025'!A:J,10,0),0)</f>
        <v>-419872</v>
      </c>
      <c r="I33" s="28">
        <f>IFERROR(VLOOKUP(B33,'[1]MENSUAL 06-2025'!A:J,10,0),0)</f>
        <v>1572948</v>
      </c>
      <c r="J33" s="48">
        <f>IFERROR(VLOOKUP(B33,'[1]MENSUAL 07-2025'!A:J,10,0),0)</f>
        <v>1574830</v>
      </c>
      <c r="K33" s="27">
        <f>IFERROR(VLOOKUP(B33,'[1]MENSUAL 08-2025 '!A:J,10,0),0)</f>
        <v>-11386983</v>
      </c>
      <c r="L33" s="29">
        <f>IFERROR(VLOOKUP(B33,'[1]MENSUAL 09-2025'!A:J,10,0),0)</f>
        <v>-9298950</v>
      </c>
      <c r="M33" s="29">
        <f>IFERROR(VLOOKUP(B33,'[1]MENSUAL 10-2025'!A:J,10,0),0)</f>
        <v>1579782</v>
      </c>
      <c r="N33" s="30">
        <f>IFERROR(VLOOKUP(B33,'[1]MENSUAL 11-2025'!A:J,10,0),0)</f>
        <v>1583097</v>
      </c>
      <c r="O33" s="30">
        <f>IFERROR(VLOOKUP(B33,'[1]MENSUAL 12-2025'!A:J,10,0),0)</f>
        <v>1583588</v>
      </c>
      <c r="P33" s="28">
        <f t="shared" si="3"/>
        <v>-6976753</v>
      </c>
      <c r="Q33" s="5">
        <f t="shared" si="1"/>
        <v>491</v>
      </c>
      <c r="R33" s="6"/>
    </row>
    <row r="34" spans="1:20" x14ac:dyDescent="0.2">
      <c r="B34" s="51" t="s">
        <v>52</v>
      </c>
      <c r="D34" s="28">
        <f>IFERROR(VLOOKUP(B34,'[1]MENSUAL 01-2025'!A:J,10,0),0)</f>
        <v>0</v>
      </c>
      <c r="E34" s="28">
        <f>IFERROR(VLOOKUP('[1]EEFF GESTIÓN S.R'!B34,'[1]MENSUAL 02-2025'!A:J,10,0),0)</f>
        <v>0</v>
      </c>
      <c r="F34" s="28">
        <f>IFERROR(VLOOKUP(B34,'[1]MENSUAL 03-2025'!A:J,10,0),0)</f>
        <v>0</v>
      </c>
      <c r="G34" s="28">
        <f>IFERROR(VLOOKUP(B34,'[1]MENSUAL 04-2025'!A:J,10,0),0)</f>
        <v>0</v>
      </c>
      <c r="H34" s="28">
        <f>IFERROR(VLOOKUP(B34,'[1]MENSUAL 05-2025'!A:J,10,0),0)</f>
        <v>0</v>
      </c>
      <c r="I34" s="28">
        <f>IFERROR(VLOOKUP(B34,'[1]MENSUAL 06-2025'!A:J,10,0),0)</f>
        <v>0</v>
      </c>
      <c r="J34" s="48">
        <f>IFERROR(VLOOKUP(B34,'[1]MENSUAL 07-2025'!A:J,10,0),0)</f>
        <v>0</v>
      </c>
      <c r="K34" s="27">
        <f>IFERROR(VLOOKUP(B34,'[1]MENSUAL 08-2025 '!A:J,10,0),0)</f>
        <v>0</v>
      </c>
      <c r="L34" s="29">
        <f>IFERROR(VLOOKUP(B34,'[1]MENSUAL 09-2025'!A:J,10,0),0)</f>
        <v>0</v>
      </c>
      <c r="M34" s="29">
        <f>IFERROR(VLOOKUP(B34,'[1]MENSUAL 10-2025'!A:J,10,0),0)</f>
        <v>82425</v>
      </c>
      <c r="N34" s="30">
        <f>IFERROR(VLOOKUP(B34,'[1]MENSUAL 11-2025'!A:J,10,0),0)</f>
        <v>167598</v>
      </c>
      <c r="O34" s="30">
        <f>IFERROR(VLOOKUP(B34,'[1]MENSUAL 12-2025'!A:J,10,0),0)</f>
        <v>255820</v>
      </c>
      <c r="P34" s="28">
        <f t="shared" si="3"/>
        <v>505843</v>
      </c>
      <c r="Q34" s="5">
        <f t="shared" si="1"/>
        <v>88222</v>
      </c>
      <c r="R34" s="6"/>
    </row>
    <row r="35" spans="1:20" ht="12.75" thickBot="1" x14ac:dyDescent="0.25">
      <c r="B35" s="34" t="s">
        <v>53</v>
      </c>
      <c r="D35" s="36">
        <f>IFERROR(VLOOKUP(B35,'[1]MENSUAL 01-2025'!A:J,10,0),0)</f>
        <v>49776586</v>
      </c>
      <c r="E35" s="36">
        <f>IFERROR(VLOOKUP('[1]EEFF GESTIÓN S.R'!B35,'[1]MENSUAL 02-2025'!A:J,10,0),0)</f>
        <v>0</v>
      </c>
      <c r="F35" s="36">
        <f>IFERROR(VLOOKUP(B35,'[1]MENSUAL 03-2025'!A:J,10,0),0)</f>
        <v>0</v>
      </c>
      <c r="G35" s="36">
        <f>IFERROR(VLOOKUP(B35,'[1]MENSUAL 04-2025'!A:J,10,0),0)</f>
        <v>0</v>
      </c>
      <c r="H35" s="36">
        <f>IFERROR(VLOOKUP(B35,'[1]MENSUAL 05-2025'!A:J,10,0),0)</f>
        <v>0</v>
      </c>
      <c r="I35" s="36">
        <f>IFERROR(VLOOKUP(B35,'[1]MENSUAL 06-2025'!A:J,10,0),0)</f>
        <v>0</v>
      </c>
      <c r="J35" s="52">
        <f>IFERROR(VLOOKUP(B35,'[1]MENSUAL 07-2025'!A:J,10,0),0)</f>
        <v>0</v>
      </c>
      <c r="K35" s="35">
        <f>IFERROR(VLOOKUP(B35,'[1]MENSUAL 08-2025 '!A:J,10,0),0)</f>
        <v>0</v>
      </c>
      <c r="L35" s="37">
        <f>IFERROR(VLOOKUP(B35,'[1]MENSUAL 09-2025'!A:J,10,0),0)</f>
        <v>0</v>
      </c>
      <c r="M35" s="37">
        <f>IFERROR(VLOOKUP(B35,'[1]MENSUAL 10-2025'!A:J,10,0),0)</f>
        <v>0</v>
      </c>
      <c r="N35" s="38">
        <f>IFERROR(VLOOKUP(B35,'[1]MENSUAL 11-2025'!A:J,10,0),0)</f>
        <v>0</v>
      </c>
      <c r="O35" s="38">
        <f>IFERROR(VLOOKUP(B35,'[1]MENSUAL 12-2025'!A:J,10,0),0)</f>
        <v>0</v>
      </c>
      <c r="P35" s="36">
        <f t="shared" si="3"/>
        <v>49776586</v>
      </c>
      <c r="Q35" s="5">
        <f t="shared" si="1"/>
        <v>0</v>
      </c>
      <c r="R35" s="6"/>
    </row>
    <row r="36" spans="1:20" ht="12.75" thickBot="1" x14ac:dyDescent="0.25">
      <c r="D36" s="2"/>
      <c r="E36" s="2"/>
      <c r="F36" s="2"/>
      <c r="G36" s="2"/>
      <c r="H36" s="2"/>
      <c r="I36" s="2"/>
      <c r="J36" s="44"/>
      <c r="K36" s="2"/>
      <c r="L36" s="44"/>
      <c r="M36" s="44"/>
      <c r="N36" s="44"/>
      <c r="O36" s="44"/>
      <c r="P36" s="44"/>
      <c r="Q36" s="5">
        <f t="shared" si="1"/>
        <v>0</v>
      </c>
      <c r="R36" s="6"/>
    </row>
    <row r="37" spans="1:20" ht="12.75" thickBot="1" x14ac:dyDescent="0.25">
      <c r="A37" s="18" t="s">
        <v>35</v>
      </c>
      <c r="B37" s="53" t="s">
        <v>54</v>
      </c>
      <c r="C37" s="54"/>
      <c r="D37" s="42">
        <f t="shared" ref="D37:L37" si="4">SUM(D24:D35)</f>
        <v>52871846</v>
      </c>
      <c r="E37" s="42">
        <f t="shared" si="4"/>
        <v>31642026</v>
      </c>
      <c r="F37" s="42">
        <f t="shared" si="4"/>
        <v>6716982</v>
      </c>
      <c r="G37" s="42">
        <f t="shared" si="4"/>
        <v>62544120</v>
      </c>
      <c r="H37" s="42">
        <f t="shared" si="4"/>
        <v>12496941</v>
      </c>
      <c r="I37" s="42">
        <f t="shared" si="4"/>
        <v>38150756</v>
      </c>
      <c r="J37" s="42">
        <f t="shared" si="4"/>
        <v>7959535</v>
      </c>
      <c r="K37" s="42">
        <f t="shared" si="4"/>
        <v>52513218</v>
      </c>
      <c r="L37" s="42">
        <f t="shared" si="4"/>
        <v>21476210</v>
      </c>
      <c r="M37" s="42">
        <f>SUM(M24:M36)</f>
        <v>28777079</v>
      </c>
      <c r="N37" s="42">
        <f>SUM(N24:N35)</f>
        <v>29387057</v>
      </c>
      <c r="O37" s="42">
        <f>SUM(O24:O36)</f>
        <v>26954659</v>
      </c>
      <c r="P37" s="43">
        <f>SUM(P24:P35)</f>
        <v>371490429</v>
      </c>
      <c r="Q37" s="5">
        <f t="shared" si="1"/>
        <v>-2432398</v>
      </c>
      <c r="R37" s="6"/>
    </row>
    <row r="38" spans="1:20" ht="12.75" thickBot="1" x14ac:dyDescent="0.25">
      <c r="B38" s="41"/>
      <c r="C38" s="41"/>
      <c r="D38" s="2"/>
      <c r="E38" s="2"/>
      <c r="F38" s="2"/>
      <c r="G38" s="2"/>
      <c r="H38" s="2"/>
      <c r="I38" s="2"/>
      <c r="J38" s="44"/>
      <c r="K38" s="2"/>
      <c r="L38" s="44"/>
      <c r="M38" s="44"/>
      <c r="N38" s="44"/>
      <c r="O38" s="44"/>
      <c r="P38" s="44"/>
      <c r="Q38" s="5">
        <f t="shared" si="1"/>
        <v>0</v>
      </c>
      <c r="R38" s="6"/>
    </row>
    <row r="39" spans="1:20" ht="12.75" thickBot="1" x14ac:dyDescent="0.25">
      <c r="A39" s="18" t="s">
        <v>35</v>
      </c>
      <c r="B39" s="40" t="s">
        <v>55</v>
      </c>
      <c r="C39" s="41"/>
      <c r="D39" s="42">
        <f t="shared" ref="D39:P39" si="5">+D37+D20</f>
        <v>1153898432</v>
      </c>
      <c r="E39" s="42">
        <f t="shared" si="5"/>
        <v>1153691214</v>
      </c>
      <c r="F39" s="42">
        <f t="shared" si="5"/>
        <v>1144104027</v>
      </c>
      <c r="G39" s="42">
        <f t="shared" si="5"/>
        <v>1451050198</v>
      </c>
      <c r="H39" s="42">
        <f t="shared" si="5"/>
        <v>1119875156</v>
      </c>
      <c r="I39" s="42">
        <f t="shared" si="5"/>
        <v>1153894544</v>
      </c>
      <c r="J39" s="42">
        <f t="shared" si="5"/>
        <v>1155992272</v>
      </c>
      <c r="K39" s="42">
        <f t="shared" si="5"/>
        <v>1215339858</v>
      </c>
      <c r="L39" s="42">
        <f t="shared" si="5"/>
        <v>1143259935</v>
      </c>
      <c r="M39" s="42">
        <f t="shared" si="5"/>
        <v>1138806252</v>
      </c>
      <c r="N39" s="42">
        <f t="shared" si="5"/>
        <v>1126484902</v>
      </c>
      <c r="O39" s="42">
        <f t="shared" si="5"/>
        <v>1202936464</v>
      </c>
      <c r="P39" s="43">
        <f t="shared" si="5"/>
        <v>14159333254</v>
      </c>
      <c r="Q39" s="5">
        <f t="shared" si="1"/>
        <v>76451562</v>
      </c>
      <c r="R39" s="6"/>
    </row>
    <row r="40" spans="1:20" ht="12.75" thickBot="1" x14ac:dyDescent="0.25">
      <c r="B40" s="41"/>
      <c r="C40" s="41"/>
      <c r="D40" s="2"/>
      <c r="E40" s="2"/>
      <c r="F40" s="2"/>
      <c r="G40" s="2"/>
      <c r="H40" s="2"/>
      <c r="I40" s="2"/>
      <c r="J40" s="44"/>
      <c r="K40" s="2"/>
      <c r="L40" s="44"/>
      <c r="M40" s="44"/>
      <c r="N40" s="44"/>
      <c r="O40" s="44"/>
      <c r="P40" s="44"/>
      <c r="Q40" s="5">
        <f t="shared" si="1"/>
        <v>0</v>
      </c>
      <c r="R40" s="6"/>
    </row>
    <row r="41" spans="1:20" ht="12.75" thickBot="1" x14ac:dyDescent="0.25">
      <c r="A41" s="18" t="s">
        <v>35</v>
      </c>
      <c r="B41" s="15" t="s">
        <v>56</v>
      </c>
      <c r="C41" s="55"/>
      <c r="D41" s="2"/>
      <c r="E41" s="2"/>
      <c r="F41" s="2"/>
      <c r="G41" s="2"/>
      <c r="H41" s="2"/>
      <c r="I41" s="2"/>
      <c r="J41" s="44"/>
      <c r="K41" s="2"/>
      <c r="L41" s="44"/>
      <c r="M41" s="44"/>
      <c r="N41" s="44"/>
      <c r="O41" s="44"/>
      <c r="P41" s="44"/>
      <c r="Q41" s="5">
        <f t="shared" si="1"/>
        <v>0</v>
      </c>
      <c r="R41" s="6"/>
    </row>
    <row r="42" spans="1:20" ht="12.75" thickBot="1" x14ac:dyDescent="0.25">
      <c r="B42" s="9"/>
      <c r="C42" s="9"/>
      <c r="D42" s="2"/>
      <c r="E42" s="2"/>
      <c r="F42" s="2"/>
      <c r="G42" s="2"/>
      <c r="H42" s="2"/>
      <c r="I42" s="2"/>
      <c r="J42" s="44"/>
      <c r="K42" s="2"/>
      <c r="L42" s="44"/>
      <c r="M42" s="44"/>
      <c r="N42" s="44"/>
      <c r="O42" s="44"/>
      <c r="P42" s="44"/>
      <c r="Q42" s="5">
        <f t="shared" si="1"/>
        <v>0</v>
      </c>
      <c r="R42" s="6"/>
    </row>
    <row r="43" spans="1:20" ht="12.75" thickBot="1" x14ac:dyDescent="0.25">
      <c r="B43" s="56" t="s">
        <v>57</v>
      </c>
      <c r="C43" s="41"/>
      <c r="D43" s="57">
        <f>SUM(D44:D51)</f>
        <v>-89165752</v>
      </c>
      <c r="E43" s="57">
        <f t="shared" ref="E43:P43" si="6">SUM(E44:E51)</f>
        <v>-121895013</v>
      </c>
      <c r="F43" s="57">
        <f t="shared" si="6"/>
        <v>-120999596</v>
      </c>
      <c r="G43" s="57">
        <f t="shared" si="6"/>
        <v>-122227364</v>
      </c>
      <c r="H43" s="57">
        <f t="shared" si="6"/>
        <v>-128406497</v>
      </c>
      <c r="I43" s="58">
        <f t="shared" si="6"/>
        <v>-162787613</v>
      </c>
      <c r="J43" s="59">
        <f t="shared" si="6"/>
        <v>-159048023</v>
      </c>
      <c r="K43" s="57">
        <f t="shared" si="6"/>
        <v>-161345420</v>
      </c>
      <c r="L43" s="57">
        <f t="shared" si="6"/>
        <v>-191913610</v>
      </c>
      <c r="M43" s="57">
        <f t="shared" si="6"/>
        <v>-159521761</v>
      </c>
      <c r="N43" s="57">
        <f t="shared" si="6"/>
        <v>-210442975</v>
      </c>
      <c r="O43" s="57">
        <f t="shared" si="6"/>
        <v>-248212856</v>
      </c>
      <c r="P43" s="60">
        <f t="shared" si="6"/>
        <v>-1875966480</v>
      </c>
      <c r="Q43" s="5">
        <f t="shared" si="1"/>
        <v>-37769881</v>
      </c>
      <c r="R43" s="6"/>
      <c r="T43" s="33"/>
    </row>
    <row r="44" spans="1:20" x14ac:dyDescent="0.2">
      <c r="B44" s="26" t="s">
        <v>58</v>
      </c>
      <c r="C44" s="41"/>
      <c r="D44" s="61">
        <f>IFERROR(VLOOKUP(B44,'[1]MENSUAL 01-2025'!A:J,10,0),0)</f>
        <v>-4505698</v>
      </c>
      <c r="E44" s="61">
        <f>IFERROR(VLOOKUP('[1]EEFF GESTIÓN S.R'!B44,'[1]MENSUAL 02-2025'!A:J,10,0),0)</f>
        <v>-4697388</v>
      </c>
      <c r="F44" s="61">
        <f>IFERROR(VLOOKUP(B44,'[1]MENSUAL 03-2025'!A:J,10,0),0)</f>
        <v>-4601544</v>
      </c>
      <c r="G44" s="61">
        <f>IFERROR(VLOOKUP(B44,'[1]MENSUAL 04-2025'!A:J,10,0),0)</f>
        <v>-4601544</v>
      </c>
      <c r="H44" s="61">
        <f>IFERROR(VLOOKUP(B44,'[1]MENSUAL 05-2025'!A:J,10,0),0)</f>
        <v>-4601544</v>
      </c>
      <c r="I44" s="62">
        <f>IFERROR(VLOOKUP(B44,'[1]MENSUAL 06-2025'!A:J,10,0),0)</f>
        <v>-4932486</v>
      </c>
      <c r="J44" s="63">
        <f>IFERROR(VLOOKUP(B44,'[1]MENSUAL 07-2025'!A:J,10,0),0)</f>
        <v>-4687564</v>
      </c>
      <c r="K44" s="61">
        <f>IFERROR(VLOOKUP(B44,'[1]MENSUAL 08-2025 '!A:J,10,0),0)</f>
        <v>-4767014</v>
      </c>
      <c r="L44" s="63">
        <f>IFERROR(VLOOKUP(B44,'[1]MENSUAL 09-2025'!A:J,10,0),0)</f>
        <v>-4767014</v>
      </c>
      <c r="M44" s="63">
        <f>IFERROR(VLOOKUP(B44,'[1]MENSUAL 10-2025'!A:J,10,0),0)</f>
        <v>-4767014</v>
      </c>
      <c r="N44" s="63">
        <f>IFERROR(VLOOKUP(B44,'[1]MENSUAL 11-2025'!A:J,10,0),0)</f>
        <v>-4767014</v>
      </c>
      <c r="O44" s="64">
        <f>IFERROR(VLOOKUP(B44,'[1]MENSUAL 12-2025'!A:J,10,0),0)</f>
        <v>-4767014</v>
      </c>
      <c r="P44" s="65">
        <f t="shared" ref="P44:P52" si="7">SUM(D44:O44)</f>
        <v>-56462838</v>
      </c>
      <c r="Q44" s="5">
        <f t="shared" si="1"/>
        <v>0</v>
      </c>
      <c r="R44" s="6"/>
      <c r="T44" s="33"/>
    </row>
    <row r="45" spans="1:20" x14ac:dyDescent="0.2">
      <c r="B45" s="26" t="s">
        <v>59</v>
      </c>
      <c r="C45" s="41"/>
      <c r="D45" s="28">
        <f>IFERROR(VLOOKUP(B45,'[1]MENSUAL 01-2025'!A:J,10,0),0)</f>
        <v>-75101345</v>
      </c>
      <c r="E45" s="28">
        <f>IFERROR(VLOOKUP('[1]EEFF GESTIÓN S.R'!B45,'[1]MENSUAL 02-2025'!A:J,10,0),0)</f>
        <v>-106776074</v>
      </c>
      <c r="F45" s="28">
        <f>IFERROR(VLOOKUP(B45,'[1]MENSUAL 03-2025'!A:J,10,0),0)</f>
        <v>-106776070</v>
      </c>
      <c r="G45" s="28">
        <f>IFERROR(VLOOKUP(B45,'[1]MENSUAL 04-2025'!A:J,10,0),0)</f>
        <v>-107207334</v>
      </c>
      <c r="H45" s="28">
        <f>IFERROR(VLOOKUP(B45,'[1]MENSUAL 05-2025'!A:J,10,0),0)</f>
        <v>-112739141</v>
      </c>
      <c r="I45" s="27">
        <f>IFERROR(VLOOKUP(B45,'[1]MENSUAL 06-2025'!A:J,10,0),0)</f>
        <v>-143789136</v>
      </c>
      <c r="J45" s="66">
        <f>IFERROR(VLOOKUP(B45,'[1]MENSUAL 07-2025'!A:J,10,0),0)</f>
        <v>-142096765</v>
      </c>
      <c r="K45" s="28">
        <f>IFERROR(VLOOKUP(B45,'[1]MENSUAL 08-2025 '!A:J,10,0),0)</f>
        <v>-142783073</v>
      </c>
      <c r="L45" s="66">
        <f>IFERROR(VLOOKUP(B45,'[1]MENSUAL 09-2025'!A:J,10,0),0)</f>
        <v>-142783073</v>
      </c>
      <c r="M45" s="63">
        <f>IFERROR(VLOOKUP(B45,'[1]MENSUAL 10-2025'!A:J,10,0),0)</f>
        <v>-142783073</v>
      </c>
      <c r="N45" s="63">
        <f>IFERROR(VLOOKUP(B45,'[1]MENSUAL 11-2025'!A:J,10,0),0)</f>
        <v>-143540429</v>
      </c>
      <c r="O45" s="30">
        <f>IFERROR(VLOOKUP(B45,'[1]MENSUAL 12-2025'!A:J,10,0),0)</f>
        <v>-143540429</v>
      </c>
      <c r="P45" s="49">
        <f t="shared" si="7"/>
        <v>-1509915942</v>
      </c>
      <c r="Q45" s="5">
        <f t="shared" si="1"/>
        <v>0</v>
      </c>
      <c r="R45" s="6"/>
      <c r="T45" s="33"/>
    </row>
    <row r="46" spans="1:20" x14ac:dyDescent="0.2">
      <c r="B46" s="67" t="s">
        <v>60</v>
      </c>
      <c r="C46" s="41"/>
      <c r="D46" s="28">
        <f>IFERROR(VLOOKUP(B46,'[1]MENSUAL 01-2025'!A:J,10,0),0)</f>
        <v>-1773857</v>
      </c>
      <c r="E46" s="28">
        <f>IFERROR(VLOOKUP('[1]EEFF GESTIÓN S.R'!B46,'[1]MENSUAL 02-2025'!A:J,10,0),0)</f>
        <v>-1778085</v>
      </c>
      <c r="F46" s="28">
        <f>IFERROR(VLOOKUP(B46,'[1]MENSUAL 03-2025'!A:J,10,0),0)</f>
        <v>-1781844</v>
      </c>
      <c r="G46" s="28">
        <f>IFERROR(VLOOKUP(B46,'[1]MENSUAL 04-2025'!A:J,10,0),0)</f>
        <v>-1937853</v>
      </c>
      <c r="H46" s="28">
        <f>IFERROR(VLOOKUP(B46,'[1]MENSUAL 05-2025'!A:J,10,0),0)</f>
        <v>-2238584</v>
      </c>
      <c r="I46" s="27">
        <f>IFERROR(VLOOKUP(B46,'[1]MENSUAL 06-2025'!A:J,10,0),0)</f>
        <v>-2216554</v>
      </c>
      <c r="J46" s="66">
        <f>IFERROR(VLOOKUP(B46,'[1]MENSUAL 07-2025'!A:J,10,0),0)</f>
        <v>-2176505</v>
      </c>
      <c r="K46" s="28">
        <f>IFERROR(VLOOKUP(B46,'[1]MENSUAL 08-2025 '!A:J,10,0),0)</f>
        <v>-2609429</v>
      </c>
      <c r="L46" s="66">
        <f>IFERROR(VLOOKUP(B46,'[1]MENSUAL 09-2025'!A:J,10,0),0)</f>
        <v>-3071141</v>
      </c>
      <c r="M46" s="63">
        <f>IFERROR(VLOOKUP(B46,'[1]MENSUAL 10-2025'!A:J,10,0),0)</f>
        <v>-2415167</v>
      </c>
      <c r="N46" s="63">
        <f>IFERROR(VLOOKUP(B46,'[1]MENSUAL 11-2025'!A:J,10,0),0)</f>
        <v>-2459593</v>
      </c>
      <c r="O46" s="30">
        <f>IFERROR(VLOOKUP(B46,'[1]MENSUAL 12-2025'!A:J,10,0),0)</f>
        <v>-2929548</v>
      </c>
      <c r="P46" s="48">
        <f t="shared" si="7"/>
        <v>-27388160</v>
      </c>
      <c r="Q46" s="5">
        <f t="shared" si="1"/>
        <v>-469955</v>
      </c>
      <c r="R46" s="6"/>
      <c r="T46" s="33"/>
    </row>
    <row r="47" spans="1:20" x14ac:dyDescent="0.2">
      <c r="B47" s="67" t="s">
        <v>61</v>
      </c>
      <c r="C47" s="41"/>
      <c r="D47" s="28">
        <f>IFERROR(VLOOKUP(B47,'[1]MENSUAL 01-2025'!A:J,10,0),0)</f>
        <v>0</v>
      </c>
      <c r="E47" s="28">
        <f>IFERROR(VLOOKUP('[1]EEFF GESTIÓN S.R'!B47,'[1]MENSUAL 02-2025'!A:J,10,0),0)</f>
        <v>0</v>
      </c>
      <c r="F47" s="28">
        <f>IFERROR(VLOOKUP(B47,'[1]MENSUAL 03-2025'!A:J,10,0),0)</f>
        <v>0</v>
      </c>
      <c r="G47" s="28">
        <f>IFERROR(VLOOKUP(B47,'[1]MENSUAL 04-2025'!A:J,10,0),0)</f>
        <v>0</v>
      </c>
      <c r="H47" s="28">
        <f>IFERROR(VLOOKUP(B47,'[1]MENSUAL 05-2025'!A:J,10,0),0)</f>
        <v>0</v>
      </c>
      <c r="I47" s="27">
        <f>IFERROR(VLOOKUP(B47,'[1]MENSUAL 06-2025'!A:J,10,0),0)</f>
        <v>-2669762</v>
      </c>
      <c r="J47" s="66">
        <f>IFERROR(VLOOKUP(B47,'[1]MENSUAL 07-2025'!A:J,10,0),0)</f>
        <v>0</v>
      </c>
      <c r="K47" s="28">
        <f>IFERROR(VLOOKUP(B47,'[1]MENSUAL 08-2025 '!A:J,10,0),0)</f>
        <v>-1651676</v>
      </c>
      <c r="L47" s="66">
        <f>IFERROR(VLOOKUP(B47,'[1]MENSUAL 09-2025'!A:J,10,0),0)</f>
        <v>0</v>
      </c>
      <c r="M47" s="63">
        <f>IFERROR(VLOOKUP(B47,'[1]MENSUAL 10-2025'!A:J,10,0),0)</f>
        <v>0</v>
      </c>
      <c r="N47" s="63">
        <f>IFERROR(VLOOKUP(B47,'[1]MENSUAL 11-2025'!A:J,10,0),0)</f>
        <v>0</v>
      </c>
      <c r="O47" s="30">
        <f>IFERROR(VLOOKUP(B47,'[1]MENSUAL 12-2025'!A:J,10,0),0)</f>
        <v>0</v>
      </c>
      <c r="P47" s="48">
        <f t="shared" si="7"/>
        <v>-4321438</v>
      </c>
      <c r="Q47" s="5">
        <f t="shared" si="1"/>
        <v>0</v>
      </c>
      <c r="R47" s="6"/>
      <c r="T47" s="33"/>
    </row>
    <row r="48" spans="1:20" x14ac:dyDescent="0.2">
      <c r="B48" s="67" t="s">
        <v>62</v>
      </c>
      <c r="C48" s="41"/>
      <c r="D48" s="28">
        <f>IFERROR(VLOOKUP(B48,'[1]MENSUAL 01-2025'!A:J,10,0),0)</f>
        <v>-4115555</v>
      </c>
      <c r="E48" s="28">
        <f>IFERROR(VLOOKUP('[1]EEFF GESTIÓN S.R'!B48,'[1]MENSUAL 02-2025'!A:J,10,0),0)</f>
        <v>-4116527</v>
      </c>
      <c r="F48" s="28">
        <f>IFERROR(VLOOKUP(B48,'[1]MENSUAL 03-2025'!A:J,10,0),0)</f>
        <v>-4116527</v>
      </c>
      <c r="G48" s="28">
        <f>IFERROR(VLOOKUP(B48,'[1]MENSUAL 04-2025'!A:J,10,0),0)</f>
        <v>-4116527</v>
      </c>
      <c r="H48" s="28">
        <f>IFERROR(VLOOKUP(B48,'[1]MENSUAL 05-2025'!A:J,10,0),0)</f>
        <v>-4632784</v>
      </c>
      <c r="I48" s="27">
        <f>IFERROR(VLOOKUP(B48,'[1]MENSUAL 06-2025'!A:J,10,0),0)</f>
        <v>-4540786</v>
      </c>
      <c r="J48" s="66">
        <f>IFERROR(VLOOKUP(B48,'[1]MENSUAL 07-2025'!A:J,10,0),0)</f>
        <v>-4481427</v>
      </c>
      <c r="K48" s="28">
        <f>IFERROR(VLOOKUP(B48,'[1]MENSUAL 08-2025 '!A:J,10,0),0)</f>
        <v>-4481427</v>
      </c>
      <c r="L48" s="66">
        <f>IFERROR(VLOOKUP(B48,'[1]MENSUAL 09-2025'!A:J,10,0),0)</f>
        <v>-4481427</v>
      </c>
      <c r="M48" s="63">
        <f>IFERROR(VLOOKUP(B48,'[1]MENSUAL 10-2025'!A:J,10,0),0)</f>
        <v>-4481427</v>
      </c>
      <c r="N48" s="63">
        <f>IFERROR(VLOOKUP(B48,'[1]MENSUAL 11-2025'!A:J,10,0),0)</f>
        <v>-4481427</v>
      </c>
      <c r="O48" s="30">
        <f>IFERROR(VLOOKUP(B48,'[1]MENSUAL 12-2025'!A:J,10,0),0)</f>
        <v>-4481427</v>
      </c>
      <c r="P48" s="48">
        <f t="shared" si="7"/>
        <v>-52527268</v>
      </c>
      <c r="Q48" s="5">
        <f t="shared" si="1"/>
        <v>0</v>
      </c>
      <c r="R48" s="6"/>
      <c r="T48" s="33"/>
    </row>
    <row r="49" spans="1:21" x14ac:dyDescent="0.2">
      <c r="B49" s="67" t="s">
        <v>63</v>
      </c>
      <c r="C49" s="41"/>
      <c r="D49" s="28">
        <f>IFERROR(VLOOKUP(B49,'[1]MENSUAL 01-2025'!A:J,10,0),0)</f>
        <v>0</v>
      </c>
      <c r="E49" s="28">
        <f>IFERROR(VLOOKUP('[1]EEFF GESTIÓN S.R'!B49,'[1]MENSUAL 02-2025'!A:J,10,0),0)</f>
        <v>0</v>
      </c>
      <c r="F49" s="28">
        <f>IFERROR(VLOOKUP(B49,'[1]MENSUAL 03-2025'!A:J,10,0),0)</f>
        <v>0</v>
      </c>
      <c r="G49" s="28">
        <f>IFERROR(VLOOKUP(B49,'[1]MENSUAL 04-2025'!A:J,10,0),0)</f>
        <v>0</v>
      </c>
      <c r="H49" s="28">
        <f>IFERROR(VLOOKUP(B49,'[1]MENSUAL 05-2025'!A:J,10,0),0)</f>
        <v>0</v>
      </c>
      <c r="I49" s="27">
        <f>IFERROR(VLOOKUP(B49,'[1]MENSUAL 06-2025'!A:J,10,0),0)</f>
        <v>0</v>
      </c>
      <c r="J49" s="66">
        <f>IFERROR(VLOOKUP(B49,'[1]MENSUAL 07-2025'!A:J,10,0),0)</f>
        <v>0</v>
      </c>
      <c r="K49" s="28">
        <f>IFERROR(VLOOKUP(B49,'[1]MENSUAL 08-2025 '!A:J,10,0),0)</f>
        <v>0</v>
      </c>
      <c r="L49" s="66">
        <f>IFERROR(VLOOKUP(B49,'[1]MENSUAL 09-2025'!A:J,10,0),0)</f>
        <v>0</v>
      </c>
      <c r="M49" s="63">
        <f>IFERROR(VLOOKUP(B49,'[1]MENSUAL 10-2025'!A:J,10,0),0)</f>
        <v>0</v>
      </c>
      <c r="N49" s="63">
        <f>IFERROR(VLOOKUP(B49,'[1]MENSUAL 11-2025'!A:J,10,0),0)</f>
        <v>0</v>
      </c>
      <c r="O49" s="30">
        <f>IFERROR(VLOOKUP(B49,'[1]MENSUAL 12-2025'!A:J,10,0),0)</f>
        <v>0</v>
      </c>
      <c r="P49" s="48">
        <f t="shared" si="7"/>
        <v>0</v>
      </c>
      <c r="Q49" s="5">
        <f t="shared" si="1"/>
        <v>0</v>
      </c>
      <c r="R49" s="6"/>
      <c r="T49" s="33"/>
    </row>
    <row r="50" spans="1:21" x14ac:dyDescent="0.2">
      <c r="B50" s="67" t="s">
        <v>64</v>
      </c>
      <c r="C50" s="41"/>
      <c r="D50" s="28">
        <f>IFERROR(VLOOKUP(B50,'[1]MENSUAL 01-2025'!A:J,10,0),0)</f>
        <v>-2539318</v>
      </c>
      <c r="E50" s="28">
        <f>IFERROR(VLOOKUP('[1]EEFF GESTIÓN S.R'!B50,'[1]MENSUAL 02-2025'!A:J,10,0),0)</f>
        <v>-3243205</v>
      </c>
      <c r="F50" s="28">
        <f>IFERROR(VLOOKUP(B50,'[1]MENSUAL 03-2025'!A:J,10,0),0)</f>
        <v>-4015318</v>
      </c>
      <c r="G50" s="28">
        <f>IFERROR(VLOOKUP(B50,'[1]MENSUAL 04-2025'!A:J,10,0),0)</f>
        <v>-3359318</v>
      </c>
      <c r="H50" s="28">
        <f>IFERROR(VLOOKUP(B50,'[1]MENSUAL 05-2025'!A:J,10,0),0)</f>
        <v>-3185318</v>
      </c>
      <c r="I50" s="27">
        <f>IFERROR(VLOOKUP(B50,'[1]MENSUAL 06-2025'!A:J,10,0),0)</f>
        <v>-3623830</v>
      </c>
      <c r="J50" s="66">
        <f>IFERROR(VLOOKUP(B50,'[1]MENSUAL 07-2025'!A:J,10,0),0)</f>
        <v>-4351132</v>
      </c>
      <c r="K50" s="28">
        <f>IFERROR(VLOOKUP(B50,'[1]MENSUAL 08-2025 '!A:J,10,0),0)</f>
        <v>-3767135</v>
      </c>
      <c r="L50" s="66">
        <f>IFERROR(VLOOKUP(B50,'[1]MENSUAL 09-2025'!A:J,10,0),0)</f>
        <v>-35623665</v>
      </c>
      <c r="M50" s="63">
        <f>IFERROR(VLOOKUP(B50,'[1]MENSUAL 10-2025'!A:J,10,0),0)</f>
        <v>-3902147</v>
      </c>
      <c r="N50" s="63">
        <f>IFERROR(VLOOKUP(B50,'[1]MENSUAL 11-2025'!A:J,10,0),0)</f>
        <v>-54021923</v>
      </c>
      <c r="O50" s="30">
        <f>IFERROR(VLOOKUP(B50,'[1]MENSUAL 12-2025'!A:J,10,0),0)</f>
        <v>-91316602</v>
      </c>
      <c r="P50" s="48">
        <f t="shared" si="7"/>
        <v>-212948911</v>
      </c>
      <c r="Q50" s="5">
        <f t="shared" si="1"/>
        <v>-37294679</v>
      </c>
      <c r="R50" s="6"/>
      <c r="T50" s="33"/>
    </row>
    <row r="51" spans="1:21" x14ac:dyDescent="0.2">
      <c r="A51" s="18" t="s">
        <v>65</v>
      </c>
      <c r="B51" s="26" t="s">
        <v>66</v>
      </c>
      <c r="C51" s="41"/>
      <c r="D51" s="28">
        <f>IFERROR(VLOOKUP(B51,'[1]MENSUAL 01-2025'!A:J,10,0),0)</f>
        <v>-1129979</v>
      </c>
      <c r="E51" s="28">
        <f>IFERROR(VLOOKUP('[1]EEFF GESTIÓN S.R'!B51,'[1]MENSUAL 02-2025'!A:J,10,0),0)</f>
        <v>-1283734</v>
      </c>
      <c r="F51" s="28">
        <f>IFERROR(VLOOKUP(B51,'[1]MENSUAL 03-2025'!A:J,10,0),0)</f>
        <v>291707</v>
      </c>
      <c r="G51" s="28">
        <f>IFERROR(VLOOKUP(B51,'[1]MENSUAL 04-2025'!A:J,10,0),0)</f>
        <v>-1004788</v>
      </c>
      <c r="H51" s="28">
        <f>IFERROR(VLOOKUP(B51,'[1]MENSUAL 05-2025'!A:J,10,0),0)</f>
        <v>-1009126</v>
      </c>
      <c r="I51" s="27">
        <f>IFERROR(VLOOKUP(B51,'[1]MENSUAL 06-2025'!A:J,10,0),0)</f>
        <v>-1015059</v>
      </c>
      <c r="J51" s="68">
        <f>IFERROR(VLOOKUP(B51,'[1]MENSUAL 07-2025'!A:J,10,0),0)</f>
        <v>-1254630</v>
      </c>
      <c r="K51" s="69">
        <f>IFERROR(VLOOKUP(B51,'[1]MENSUAL 08-2025 '!A:J,10,0),0)</f>
        <v>-1285666</v>
      </c>
      <c r="L51" s="66">
        <f>IFERROR(VLOOKUP(B51,'[1]MENSUAL 09-2025'!A:J,10,0),0)</f>
        <v>-1187290</v>
      </c>
      <c r="M51" s="63">
        <f>IFERROR(VLOOKUP(B51,'[1]MENSUAL 10-2025'!A:J,10,0),0)</f>
        <v>-1172933</v>
      </c>
      <c r="N51" s="63">
        <f>IFERROR(VLOOKUP(B51,'[1]MENSUAL 11-2025'!A:J,10,0),0)</f>
        <v>-1172589</v>
      </c>
      <c r="O51" s="30">
        <f>IFERROR(VLOOKUP(B51,'[1]MENSUAL 12-2025'!A:J,10,0),0)</f>
        <v>-1177836</v>
      </c>
      <c r="P51" s="48">
        <f t="shared" si="7"/>
        <v>-12401923</v>
      </c>
      <c r="Q51" s="5">
        <f t="shared" si="1"/>
        <v>-5247</v>
      </c>
      <c r="R51" s="6"/>
      <c r="S51" s="25"/>
      <c r="T51" s="25"/>
      <c r="U51" s="70"/>
    </row>
    <row r="52" spans="1:21" ht="12.75" thickBot="1" x14ac:dyDescent="0.25">
      <c r="A52" s="18"/>
      <c r="B52" s="71" t="s">
        <v>67</v>
      </c>
      <c r="C52" s="41"/>
      <c r="D52" s="28">
        <f>IFERROR(VLOOKUP(B52,'[1]MENSUAL 01-2025'!A:J,10,0),0)</f>
        <v>0</v>
      </c>
      <c r="E52" s="28">
        <f>IFERROR(VLOOKUP('[1]EEFF GESTIÓN S.R'!B52,'[1]MENSUAL 02-2025'!A:J,10,0),0)</f>
        <v>0</v>
      </c>
      <c r="F52" s="28">
        <f>IFERROR(VLOOKUP(B52,'[1]MENSUAL 03-2025'!A:J,10,0),0)</f>
        <v>0</v>
      </c>
      <c r="G52" s="28">
        <f>IFERROR(VLOOKUP(B52,'[1]MENSUAL 04-2025'!A:J,10,0),0)</f>
        <v>0</v>
      </c>
      <c r="H52" s="28">
        <f>IFERROR(VLOOKUP(B52,'[1]MENSUAL 05-2025'!A:J,10,0),0)</f>
        <v>0</v>
      </c>
      <c r="I52" s="27">
        <f>IFERROR(VLOOKUP(B52,'[1]MENSUAL 06-2025'!A:J,10,0),0)</f>
        <v>0</v>
      </c>
      <c r="J52" s="68">
        <f>IFERROR(VLOOKUP(B52,'[1]MENSUAL 07-2025'!A:J,10,0),0)</f>
        <v>0</v>
      </c>
      <c r="K52" s="69">
        <f>IFERROR(VLOOKUP(B52,'[1]MENSUAL 08-2025 '!A:J,10,0),0)</f>
        <v>0</v>
      </c>
      <c r="L52" s="66">
        <f>IFERROR(VLOOKUP(B52,'[1]MENSUAL 09-2025'!A:J,10,0),0)</f>
        <v>0</v>
      </c>
      <c r="M52" s="63">
        <f>IFERROR(VLOOKUP(B52,'[1]MENSUAL 10-2025'!A:J,10,0),0)</f>
        <v>0</v>
      </c>
      <c r="N52" s="63">
        <f>IFERROR(VLOOKUP(B52,'[1]MENSUAL 11-2025'!A:J,10,0),0)</f>
        <v>0</v>
      </c>
      <c r="O52" s="30">
        <f>IFERROR(VLOOKUP(B52,'[1]MENSUAL 12-2025'!A:J,10,0),0)</f>
        <v>-67565603</v>
      </c>
      <c r="P52" s="48">
        <f t="shared" si="7"/>
        <v>-67565603</v>
      </c>
      <c r="Q52" s="5">
        <f t="shared" si="1"/>
        <v>-67565603</v>
      </c>
      <c r="R52" s="6"/>
      <c r="S52" s="25"/>
      <c r="T52" s="25"/>
      <c r="U52" s="70"/>
    </row>
    <row r="53" spans="1:21" ht="12.75" thickBot="1" x14ac:dyDescent="0.25">
      <c r="B53" s="56" t="s">
        <v>68</v>
      </c>
      <c r="C53" s="41"/>
      <c r="D53" s="57">
        <f>SUM(D54:D55)</f>
        <v>-65272168</v>
      </c>
      <c r="E53" s="57">
        <f t="shared" ref="E53:P53" si="8">SUM(E54:E55)</f>
        <v>-70329336</v>
      </c>
      <c r="F53" s="57">
        <f t="shared" si="8"/>
        <v>-63028350</v>
      </c>
      <c r="G53" s="57">
        <f t="shared" si="8"/>
        <v>-63126356</v>
      </c>
      <c r="H53" s="57">
        <f t="shared" si="8"/>
        <v>-65117864</v>
      </c>
      <c r="I53" s="58">
        <f t="shared" si="8"/>
        <v>-65139107</v>
      </c>
      <c r="J53" s="59">
        <f t="shared" si="8"/>
        <v>-65787829</v>
      </c>
      <c r="K53" s="57">
        <f t="shared" si="8"/>
        <v>-65342916</v>
      </c>
      <c r="L53" s="57">
        <f t="shared" si="8"/>
        <v>-65415096</v>
      </c>
      <c r="M53" s="57">
        <f t="shared" si="8"/>
        <v>-58771211</v>
      </c>
      <c r="N53" s="57">
        <f t="shared" si="8"/>
        <v>-73039237</v>
      </c>
      <c r="O53" s="57">
        <f t="shared" si="8"/>
        <v>-67668492</v>
      </c>
      <c r="P53" s="60">
        <f t="shared" si="8"/>
        <v>-788037962</v>
      </c>
      <c r="Q53" s="5">
        <f t="shared" si="1"/>
        <v>5370745</v>
      </c>
      <c r="R53" s="6"/>
      <c r="T53" s="70"/>
    </row>
    <row r="54" spans="1:21" x14ac:dyDescent="0.2">
      <c r="A54" s="18" t="s">
        <v>69</v>
      </c>
      <c r="B54" s="26" t="s">
        <v>70</v>
      </c>
      <c r="C54" s="41"/>
      <c r="D54" s="61">
        <f>IFERROR(VLOOKUP(B54,'[1]MENSUAL 01-2025'!A:J,10,0),0)</f>
        <v>-86051</v>
      </c>
      <c r="E54" s="61">
        <f>IFERROR(VLOOKUP('[1]EEFF GESTIÓN S.R'!B54,'[1]MENSUAL 02-2025'!A:J,10,0),0)</f>
        <v>-148019</v>
      </c>
      <c r="F54" s="61">
        <f>IFERROR(VLOOKUP(B54,'[1]MENSUAL 03-2025'!A:J,10,0),0)</f>
        <v>-86569</v>
      </c>
      <c r="G54" s="61">
        <f>IFERROR(VLOOKUP(B54,'[1]MENSUAL 04-2025'!A:J,10,0),0)</f>
        <v>-139279</v>
      </c>
      <c r="H54" s="61">
        <f>IFERROR(VLOOKUP(B54,'[1]MENSUAL 05-2025'!A:J,10,0),0)</f>
        <v>-87528</v>
      </c>
      <c r="I54" s="62">
        <f>IFERROR(VLOOKUP(B54,'[1]MENSUAL 06-2025'!A:J,10,0),0)</f>
        <v>-87787</v>
      </c>
      <c r="J54" s="63">
        <f>IFERROR(VLOOKUP(B54,'[1]MENSUAL 07-2025'!A:J,10,0),0)</f>
        <v>-294955</v>
      </c>
      <c r="K54" s="61">
        <f>IFERROR(VLOOKUP(B54,'[1]MENSUAL 08-2025 '!A:J,10,0),0)</f>
        <v>-175980</v>
      </c>
      <c r="L54" s="63">
        <f>IFERROR(VLOOKUP(B54,'[1]MENSUAL 09-2025'!A:J,10,0),0)</f>
        <v>-210000</v>
      </c>
      <c r="M54" s="63">
        <f>IFERROR(VLOOKUP(B54,'[1]MENSUAL 10-2025'!A:J,10,0),0)</f>
        <v>-1083445</v>
      </c>
      <c r="N54" s="63">
        <f>IFERROR(VLOOKUP(B54,'[1]MENSUAL 11-2025'!A:J,10,0),0)</f>
        <v>-257499</v>
      </c>
      <c r="O54" s="64">
        <f>IFERROR(VLOOKUP(B54,'[1]MENSUAL 12-2025'!A:J,10,0),0)</f>
        <v>-75927</v>
      </c>
      <c r="P54" s="72">
        <f>SUM(D54:O54)</f>
        <v>-2733039</v>
      </c>
      <c r="Q54" s="5">
        <f t="shared" si="1"/>
        <v>181572</v>
      </c>
      <c r="R54" s="6"/>
      <c r="T54" s="73"/>
    </row>
    <row r="55" spans="1:21" ht="12.75" thickBot="1" x14ac:dyDescent="0.25">
      <c r="A55" s="18"/>
      <c r="B55" s="26" t="s">
        <v>71</v>
      </c>
      <c r="C55" s="41"/>
      <c r="D55" s="28">
        <f>IFERROR(VLOOKUP(B55,'[1]MENSUAL 01-2025'!A:J,10,0),0)</f>
        <v>-65186117</v>
      </c>
      <c r="E55" s="28">
        <f>IFERROR(VLOOKUP('[1]EEFF GESTIÓN S.R'!B55,'[1]MENSUAL 02-2025'!A:J,10,0),0)</f>
        <v>-70181317</v>
      </c>
      <c r="F55" s="28">
        <f>IFERROR(VLOOKUP(B55,'[1]MENSUAL 03-2025'!A:J,10,0),0)</f>
        <v>-62941781</v>
      </c>
      <c r="G55" s="28">
        <f>IFERROR(VLOOKUP(B55,'[1]MENSUAL 04-2025'!A:J,10,0),0)</f>
        <v>-62987077</v>
      </c>
      <c r="H55" s="28">
        <f>IFERROR(VLOOKUP(B55,'[1]MENSUAL 05-2025'!A:J,10,0),0)</f>
        <v>-65030336</v>
      </c>
      <c r="I55" s="27">
        <f>IFERROR(VLOOKUP(B55,'[1]MENSUAL 06-2025'!A:J,10,0),0)</f>
        <v>-65051320</v>
      </c>
      <c r="J55" s="68">
        <f>IFERROR(VLOOKUP(B55,'[1]MENSUAL 07-2025'!A:J,10,0),0)</f>
        <v>-65492874</v>
      </c>
      <c r="K55" s="69">
        <f>IFERROR(VLOOKUP(B55,'[1]MENSUAL 08-2025 '!A:J,10,0),0)</f>
        <v>-65166936</v>
      </c>
      <c r="L55" s="68">
        <f>IFERROR(VLOOKUP(B55,'[1]MENSUAL 09-2025'!A:J,10,0),0)</f>
        <v>-65205096</v>
      </c>
      <c r="M55" s="63">
        <f>IFERROR(VLOOKUP(B55,'[1]MENSUAL 10-2025'!A:J,10,0),0)</f>
        <v>-57687766</v>
      </c>
      <c r="N55" s="63">
        <f>IFERROR(VLOOKUP(B55,'[1]MENSUAL 11-2025'!A:J,10,0),0)</f>
        <v>-72781738</v>
      </c>
      <c r="O55" s="30">
        <f>IFERROR(VLOOKUP(B55,'[1]MENSUAL 12-2025'!A:J,10,0),0)</f>
        <v>-67592565</v>
      </c>
      <c r="P55" s="48">
        <f>SUM(D55:O55)</f>
        <v>-785304923</v>
      </c>
      <c r="Q55" s="5">
        <f t="shared" si="1"/>
        <v>5189173</v>
      </c>
      <c r="R55" s="6"/>
      <c r="T55" s="73"/>
    </row>
    <row r="56" spans="1:21" ht="12.75" thickBot="1" x14ac:dyDescent="0.25">
      <c r="B56" s="56" t="s">
        <v>72</v>
      </c>
      <c r="C56" s="41"/>
      <c r="D56" s="57">
        <f>SUM(D57:D61)</f>
        <v>-23496553</v>
      </c>
      <c r="E56" s="57">
        <f t="shared" ref="E56:P56" si="9">SUM(E57:E61)</f>
        <v>-23771499</v>
      </c>
      <c r="F56" s="57">
        <f t="shared" si="9"/>
        <v>-22303861</v>
      </c>
      <c r="G56" s="57">
        <f t="shared" si="9"/>
        <v>-23675462</v>
      </c>
      <c r="H56" s="57">
        <f t="shared" si="9"/>
        <v>-25108429</v>
      </c>
      <c r="I56" s="58">
        <f t="shared" si="9"/>
        <v>-24762978</v>
      </c>
      <c r="J56" s="59">
        <f t="shared" si="9"/>
        <v>-23216452</v>
      </c>
      <c r="K56" s="57">
        <f t="shared" si="9"/>
        <v>-23461597</v>
      </c>
      <c r="L56" s="57">
        <f t="shared" si="9"/>
        <v>-22798823</v>
      </c>
      <c r="M56" s="57">
        <f t="shared" si="9"/>
        <v>-27436695</v>
      </c>
      <c r="N56" s="57">
        <f t="shared" si="9"/>
        <v>-25548576</v>
      </c>
      <c r="O56" s="57">
        <f t="shared" si="9"/>
        <v>-27210508</v>
      </c>
      <c r="P56" s="60">
        <f t="shared" si="9"/>
        <v>-292791433</v>
      </c>
      <c r="Q56" s="5">
        <f t="shared" si="1"/>
        <v>-1661932</v>
      </c>
      <c r="R56" s="6"/>
    </row>
    <row r="57" spans="1:21" x14ac:dyDescent="0.2">
      <c r="A57" s="18" t="s">
        <v>73</v>
      </c>
      <c r="B57" s="26" t="s">
        <v>74</v>
      </c>
      <c r="C57" s="41"/>
      <c r="D57" s="61">
        <f>IFERROR(VLOOKUP(B57,'[1]MENSUAL 01-2025'!A:J,10,0),0)</f>
        <v>-990846</v>
      </c>
      <c r="E57" s="61">
        <f>IFERROR(VLOOKUP('[1]EEFF GESTIÓN S.R'!B57,'[1]MENSUAL 02-2025'!A:J,10,0),0)</f>
        <v>-54030</v>
      </c>
      <c r="F57" s="61">
        <f>IFERROR(VLOOKUP(B57,'[1]MENSUAL 03-2025'!A:J,10,0),0)</f>
        <v>-1011268</v>
      </c>
      <c r="G57" s="61">
        <f>IFERROR(VLOOKUP(B57,'[1]MENSUAL 04-2025'!A:J,10,0),0)</f>
        <v>-1049030</v>
      </c>
      <c r="H57" s="61">
        <f>IFERROR(VLOOKUP(B57,'[1]MENSUAL 05-2025'!A:J,10,0),0)</f>
        <v>-1028154</v>
      </c>
      <c r="I57" s="62">
        <f>IFERROR(VLOOKUP(B57,'[1]MENSUAL 06-2025'!A:J,10,0),0)</f>
        <v>-1416615</v>
      </c>
      <c r="J57" s="63">
        <f>IFERROR(VLOOKUP(B57,'[1]MENSUAL 07-2025'!A:J,10,0),0)</f>
        <v>-411020</v>
      </c>
      <c r="K57" s="61">
        <f>IFERROR(VLOOKUP(B57,'[1]MENSUAL 08-2025 '!A:J,10,0),0)</f>
        <v>-1099423</v>
      </c>
      <c r="L57" s="72">
        <f>IFERROR(VLOOKUP(B57,'[1]MENSUAL 09-2025'!A:J,10,0),0)</f>
        <v>-1127931</v>
      </c>
      <c r="M57" s="63">
        <f>IFERROR(VLOOKUP(B57,'[1]MENSUAL 10-2025'!A:J,10,0),0)</f>
        <v>-1126803</v>
      </c>
      <c r="N57" s="63">
        <f>IFERROR(VLOOKUP(B57,'[1]MENSUAL 11-2025'!A:J,10,0),0)</f>
        <v>-1196944</v>
      </c>
      <c r="O57" s="64">
        <f>IFERROR(VLOOKUP(B57,'[1]MENSUAL 12-2025'!A:J,10,0),0)</f>
        <v>-64945</v>
      </c>
      <c r="P57" s="72">
        <f>SUM(D57:O57)</f>
        <v>-10577009</v>
      </c>
      <c r="Q57" s="5">
        <f t="shared" si="1"/>
        <v>1131999</v>
      </c>
      <c r="R57" s="6"/>
    </row>
    <row r="58" spans="1:21" x14ac:dyDescent="0.2">
      <c r="A58" s="18"/>
      <c r="B58" s="26" t="s">
        <v>75</v>
      </c>
      <c r="C58" s="41"/>
      <c r="D58" s="28">
        <f>IFERROR(VLOOKUP(B58,'[1]MENSUAL 01-2025'!A:J,10,0),0)</f>
        <v>-1892214</v>
      </c>
      <c r="E58" s="28">
        <f>IFERROR(VLOOKUP('[1]EEFF GESTIÓN S.R'!B58,'[1]MENSUAL 02-2025'!A:J,10,0),0)</f>
        <v>-1640124</v>
      </c>
      <c r="F58" s="28">
        <f>IFERROR(VLOOKUP(B58,'[1]MENSUAL 03-2025'!A:J,10,0),0)</f>
        <v>0</v>
      </c>
      <c r="G58" s="28">
        <f>IFERROR(VLOOKUP(B58,'[1]MENSUAL 04-2025'!A:J,10,0),0)</f>
        <v>-1640667</v>
      </c>
      <c r="H58" s="28">
        <f>IFERROR(VLOOKUP(B58,'[1]MENSUAL 05-2025'!A:J,10,0),0)</f>
        <v>-2102350</v>
      </c>
      <c r="I58" s="27">
        <f>IFERROR(VLOOKUP(B58,'[1]MENSUAL 06-2025'!A:J,10,0),0)</f>
        <v>-1614281</v>
      </c>
      <c r="J58" s="66">
        <f>IFERROR(VLOOKUP(B58,'[1]MENSUAL 07-2025'!A:J,10,0),0)</f>
        <v>-1617994</v>
      </c>
      <c r="K58" s="28">
        <f>IFERROR(VLOOKUP(B58,'[1]MENSUAL 08-2025 '!A:J,10,0),0)</f>
        <v>0</v>
      </c>
      <c r="L58" s="48">
        <f>IFERROR(VLOOKUP(B58,'[1]MENSUAL 09-2025'!A:J,10,0),0)</f>
        <v>-1605984</v>
      </c>
      <c r="M58" s="63">
        <f>IFERROR(VLOOKUP(B58,'[1]MENSUAL 10-2025'!A:J,10,0),0)</f>
        <v>-3625584</v>
      </c>
      <c r="N58" s="63">
        <f>IFERROR(VLOOKUP(B58,'[1]MENSUAL 11-2025'!A:J,10,0),0)</f>
        <v>-1069948</v>
      </c>
      <c r="O58" s="30">
        <f>IFERROR(VLOOKUP(B58,'[1]MENSUAL 12-2025'!A:J,10,0),0)</f>
        <v>-1094260</v>
      </c>
      <c r="P58" s="48">
        <f>SUM(D58:O58)</f>
        <v>-17903406</v>
      </c>
      <c r="Q58" s="5">
        <f t="shared" si="1"/>
        <v>-24312</v>
      </c>
      <c r="R58" s="6"/>
    </row>
    <row r="59" spans="1:21" x14ac:dyDescent="0.2">
      <c r="A59" s="18"/>
      <c r="B59" s="26" t="s">
        <v>76</v>
      </c>
      <c r="C59" s="41"/>
      <c r="D59" s="28">
        <f>IFERROR(VLOOKUP(B59,'[1]MENSUAL 01-2025'!A:J,10,0),0)</f>
        <v>0</v>
      </c>
      <c r="E59" s="28">
        <f>IFERROR(VLOOKUP('[1]EEFF GESTIÓN S.R'!B59,'[1]MENSUAL 02-2025'!A:J,10,0),0)</f>
        <v>0</v>
      </c>
      <c r="F59" s="28">
        <f>IFERROR(VLOOKUP(B59,'[1]MENSUAL 03-2025'!A:J,10,0),0)</f>
        <v>0</v>
      </c>
      <c r="G59" s="28">
        <f>IFERROR(VLOOKUP(B59,'[1]MENSUAL 04-2025'!A:J,10,0),0)</f>
        <v>0</v>
      </c>
      <c r="H59" s="28">
        <f>IFERROR(VLOOKUP(B59,'[1]MENSUAL 05-2025'!A:J,10,0),0)</f>
        <v>-13731</v>
      </c>
      <c r="I59" s="27">
        <f>IFERROR(VLOOKUP(B59,'[1]MENSUAL 06-2025'!A:J,10,0),0)</f>
        <v>-62328</v>
      </c>
      <c r="J59" s="66">
        <f>IFERROR(VLOOKUP(B59,'[1]MENSUAL 07-2025'!A:J,10,0),0)</f>
        <v>0</v>
      </c>
      <c r="K59" s="28">
        <f>IFERROR(VLOOKUP(B59,'[1]MENSUAL 08-2025 '!A:J,10,0),0)</f>
        <v>-339560</v>
      </c>
      <c r="L59" s="48">
        <f>IFERROR(VLOOKUP(B59,'[1]MENSUAL 09-2025'!A:J,10,0),0)</f>
        <v>0</v>
      </c>
      <c r="M59" s="63">
        <f>IFERROR(VLOOKUP(B59,'[1]MENSUAL 10-2025'!A:J,10,0),0)</f>
        <v>0</v>
      </c>
      <c r="N59" s="63">
        <f>IFERROR(VLOOKUP(B59,'[1]MENSUAL 11-2025'!A:J,10,0),0)</f>
        <v>-41463</v>
      </c>
      <c r="O59" s="30">
        <f>IFERROR(VLOOKUP(B59,'[1]MENSUAL 12-2025'!A:J,10,0),0)</f>
        <v>0</v>
      </c>
      <c r="P59" s="48">
        <f>SUM(D59:O59)</f>
        <v>-457082</v>
      </c>
      <c r="Q59" s="5">
        <f t="shared" si="1"/>
        <v>41463</v>
      </c>
      <c r="R59" s="6"/>
    </row>
    <row r="60" spans="1:21" x14ac:dyDescent="0.2">
      <c r="A60" s="18"/>
      <c r="B60" s="26" t="s">
        <v>77</v>
      </c>
      <c r="C60" s="41"/>
      <c r="D60" s="28">
        <f>IFERROR(VLOOKUP(B60,'[1]MENSUAL 01-2025'!A:J,10,0),0)</f>
        <v>0</v>
      </c>
      <c r="E60" s="28">
        <f>IFERROR(VLOOKUP('[1]EEFF GESTIÓN S.R'!B60,'[1]MENSUAL 02-2025'!A:J,10,0),0)</f>
        <v>0</v>
      </c>
      <c r="F60" s="28">
        <f>IFERROR(VLOOKUP(B60,'[1]MENSUAL 03-2025'!A:J,10,0),0)</f>
        <v>0</v>
      </c>
      <c r="G60" s="28">
        <f>IFERROR(VLOOKUP(B60,'[1]MENSUAL 04-2025'!A:J,10,0),0)</f>
        <v>-5454</v>
      </c>
      <c r="H60" s="28">
        <f>IFERROR(VLOOKUP(B60,'[1]MENSUAL 05-2025'!A:J,10,0),0)</f>
        <v>0</v>
      </c>
      <c r="I60" s="27">
        <f>IFERROR(VLOOKUP(B60,'[1]MENSUAL 06-2025'!A:J,10,0),0)</f>
        <v>0</v>
      </c>
      <c r="J60" s="66">
        <f>IFERROR(VLOOKUP(B60,'[1]MENSUAL 07-2025'!A:J,10,0),0)</f>
        <v>-93848</v>
      </c>
      <c r="K60" s="28">
        <f>IFERROR(VLOOKUP(B60,'[1]MENSUAL 08-2025 '!A:J,10,0),0)</f>
        <v>0</v>
      </c>
      <c r="L60" s="48">
        <f>IFERROR(VLOOKUP(B60,'[1]MENSUAL 09-2025'!A:J,10,0),0)</f>
        <v>0</v>
      </c>
      <c r="M60" s="63">
        <f>IFERROR(VLOOKUP(B60,'[1]MENSUAL 10-2025'!A:J,10,0),0)</f>
        <v>-79040</v>
      </c>
      <c r="N60" s="63">
        <f>IFERROR(VLOOKUP(B60,'[1]MENSUAL 11-2025'!A:J,10,0),0)</f>
        <v>0</v>
      </c>
      <c r="O60" s="30">
        <f>IFERROR(VLOOKUP(B60,'[1]MENSUAL 12-2025'!A:J,10,0),0)</f>
        <v>0</v>
      </c>
      <c r="P60" s="48">
        <f>SUM(D60:O60)</f>
        <v>-178342</v>
      </c>
      <c r="Q60" s="5">
        <f t="shared" si="1"/>
        <v>0</v>
      </c>
      <c r="R60" s="6"/>
    </row>
    <row r="61" spans="1:21" ht="12.75" thickBot="1" x14ac:dyDescent="0.25">
      <c r="A61" s="18"/>
      <c r="B61" s="26" t="s">
        <v>78</v>
      </c>
      <c r="C61" s="41"/>
      <c r="D61" s="28">
        <f>IFERROR(VLOOKUP(B61,'[1]MENSUAL 01-2025'!A:J,10,0),0)</f>
        <v>-20613493</v>
      </c>
      <c r="E61" s="28">
        <f>IFERROR(VLOOKUP('[1]EEFF GESTIÓN S.R'!B61,'[1]MENSUAL 02-2025'!A:J,10,0),0)</f>
        <v>-22077345</v>
      </c>
      <c r="F61" s="28">
        <f>IFERROR(VLOOKUP(B61,'[1]MENSUAL 03-2025'!A:J,10,0),0)</f>
        <v>-21292593</v>
      </c>
      <c r="G61" s="28">
        <f>IFERROR(VLOOKUP(B61,'[1]MENSUAL 04-2025'!A:J,10,0),0)</f>
        <v>-20980311</v>
      </c>
      <c r="H61" s="28">
        <f>IFERROR(VLOOKUP(B61,'[1]MENSUAL 05-2025'!A:J,10,0),0)</f>
        <v>-21964194</v>
      </c>
      <c r="I61" s="27">
        <f>IFERROR(VLOOKUP(B61,'[1]MENSUAL 06-2025'!A:J,10,0),0)</f>
        <v>-21669754</v>
      </c>
      <c r="J61" s="68">
        <f>IFERROR(VLOOKUP(B61,'[1]MENSUAL 07-2025'!A:J,10,0),0)</f>
        <v>-21093590</v>
      </c>
      <c r="K61" s="69">
        <f>IFERROR(VLOOKUP(B61,'[1]MENSUAL 08-2025 '!A:J,10,0),0)</f>
        <v>-22022614</v>
      </c>
      <c r="L61" s="74">
        <f>IFERROR(VLOOKUP(B61,'[1]MENSUAL 09-2025'!A:J,10,0),0)</f>
        <v>-20064908</v>
      </c>
      <c r="M61" s="63">
        <f>IFERROR(VLOOKUP(B61,'[1]MENSUAL 10-2025'!A:J,10,0),0)</f>
        <v>-22605268</v>
      </c>
      <c r="N61" s="63">
        <f>IFERROR(VLOOKUP(B61,'[1]MENSUAL 11-2025'!A:J,10,0),0)</f>
        <v>-23240221</v>
      </c>
      <c r="O61" s="30">
        <f>IFERROR(VLOOKUP(B61,'[1]MENSUAL 12-2025'!A:J,10,0),0)</f>
        <v>-26051303</v>
      </c>
      <c r="P61" s="48">
        <f>SUM(D61:O61)</f>
        <v>-263675594</v>
      </c>
      <c r="Q61" s="5">
        <f t="shared" si="1"/>
        <v>-2811082</v>
      </c>
      <c r="R61" s="6"/>
    </row>
    <row r="62" spans="1:21" ht="12.75" thickBot="1" x14ac:dyDescent="0.25">
      <c r="B62" s="56" t="s">
        <v>79</v>
      </c>
      <c r="C62" s="41"/>
      <c r="D62" s="57">
        <f>SUM(D63:D68)</f>
        <v>-149192147</v>
      </c>
      <c r="E62" s="57">
        <f t="shared" ref="E62:P62" si="10">SUM(E63:E68)</f>
        <v>-63693577</v>
      </c>
      <c r="F62" s="57">
        <f t="shared" si="10"/>
        <v>-223639204</v>
      </c>
      <c r="G62" s="57">
        <f t="shared" si="10"/>
        <v>-157806908</v>
      </c>
      <c r="H62" s="57">
        <f t="shared" si="10"/>
        <v>-98570406</v>
      </c>
      <c r="I62" s="58">
        <f t="shared" si="10"/>
        <v>-128826208</v>
      </c>
      <c r="J62" s="59">
        <f t="shared" si="10"/>
        <v>-155363827</v>
      </c>
      <c r="K62" s="57">
        <f t="shared" si="10"/>
        <v>-189483740</v>
      </c>
      <c r="L62" s="57">
        <f t="shared" si="10"/>
        <v>-129037030</v>
      </c>
      <c r="M62" s="57">
        <f t="shared" si="10"/>
        <v>-104478253</v>
      </c>
      <c r="N62" s="57">
        <f t="shared" si="10"/>
        <v>-233998374</v>
      </c>
      <c r="O62" s="57">
        <f t="shared" si="10"/>
        <v>-47728826</v>
      </c>
      <c r="P62" s="60">
        <f t="shared" si="10"/>
        <v>-1681818500</v>
      </c>
      <c r="Q62" s="5">
        <f t="shared" si="1"/>
        <v>186269548</v>
      </c>
      <c r="R62" s="6"/>
    </row>
    <row r="63" spans="1:21" x14ac:dyDescent="0.2">
      <c r="B63" s="26" t="s">
        <v>80</v>
      </c>
      <c r="C63" s="41"/>
      <c r="D63" s="61">
        <f>IFERROR(VLOOKUP(B63,'[1]MENSUAL 01-2025'!A:J,10,0),0)</f>
        <v>-6077059</v>
      </c>
      <c r="E63" s="61">
        <f>IFERROR(VLOOKUP('[1]EEFF GESTIÓN S.R'!B63,'[1]MENSUAL 02-2025'!A:J,10,0),0)</f>
        <v>-6719898</v>
      </c>
      <c r="F63" s="61">
        <f>IFERROR(VLOOKUP(B63,'[1]MENSUAL 03-2025'!A:J,10,0),0)</f>
        <v>-8999624</v>
      </c>
      <c r="G63" s="61">
        <f>IFERROR(VLOOKUP(B63,'[1]MENSUAL 04-2025'!A:J,10,0),0)</f>
        <v>-9033113</v>
      </c>
      <c r="H63" s="61">
        <f>IFERROR(VLOOKUP(B63,'[1]MENSUAL 05-2025'!A:J,10,0),0)</f>
        <v>-6279127</v>
      </c>
      <c r="I63" s="62">
        <f>IFERROR(VLOOKUP(B63,'[1]MENSUAL 06-2025'!A:J,10,0),0)</f>
        <v>-6663315</v>
      </c>
      <c r="J63" s="63">
        <f>IFERROR(VLOOKUP(B63,'[1]MENSUAL 07-2025'!A:J,10,0),0)</f>
        <v>-9003793</v>
      </c>
      <c r="K63" s="61">
        <f>IFERROR(VLOOKUP(B63,'[1]MENSUAL 08-2025 '!A:J,10,0),0)</f>
        <v>-6077361</v>
      </c>
      <c r="L63" s="63">
        <f>IFERROR(VLOOKUP(B63,'[1]MENSUAL 09-2025'!A:J,10,0),0)</f>
        <v>-6491619</v>
      </c>
      <c r="M63" s="63">
        <f>IFERROR(VLOOKUP(B63,'[1]MENSUAL 10-2025'!A:J,10,0),0)</f>
        <v>-6443307</v>
      </c>
      <c r="N63" s="63">
        <f>IFERROR(VLOOKUP(B63,'[1]MENSUAL 11-2025'!A:J,10,0),0)</f>
        <v>-9287888</v>
      </c>
      <c r="O63" s="64">
        <f>IFERROR(VLOOKUP(B63,'[1]MENSUAL 12-2025'!A:J,10,0),0)</f>
        <v>-10560132</v>
      </c>
      <c r="P63" s="72">
        <f t="shared" ref="P63:P68" si="11">SUM(D63:O63)</f>
        <v>-91636236</v>
      </c>
      <c r="Q63" s="5">
        <f t="shared" si="1"/>
        <v>-1272244</v>
      </c>
      <c r="R63" s="6"/>
    </row>
    <row r="64" spans="1:21" x14ac:dyDescent="0.2">
      <c r="B64" s="26" t="s">
        <v>81</v>
      </c>
      <c r="C64" s="41"/>
      <c r="D64" s="28">
        <f>IFERROR(VLOOKUP(B64,'[1]MENSUAL 01-2025'!A:J,10,0),0)</f>
        <v>-138429080</v>
      </c>
      <c r="E64" s="28">
        <f>IFERROR(VLOOKUP('[1]EEFF GESTIÓN S.R'!B64,'[1]MENSUAL 02-2025'!A:J,10,0),0)</f>
        <v>-53955113</v>
      </c>
      <c r="F64" s="28">
        <f>IFERROR(VLOOKUP(B64,'[1]MENSUAL 03-2025'!A:J,10,0),0)</f>
        <v>-208854524</v>
      </c>
      <c r="G64" s="28">
        <f>IFERROR(VLOOKUP(B64,'[1]MENSUAL 04-2025'!A:J,10,0),0)</f>
        <v>-144248968</v>
      </c>
      <c r="H64" s="28">
        <f>IFERROR(VLOOKUP(B64,'[1]MENSUAL 05-2025'!A:J,10,0),0)</f>
        <v>-87336426</v>
      </c>
      <c r="I64" s="27">
        <f>IFERROR(VLOOKUP(B64,'[1]MENSUAL 06-2025'!A:J,10,0),0)</f>
        <v>-115091585</v>
      </c>
      <c r="J64" s="66">
        <f>IFERROR(VLOOKUP(B64,'[1]MENSUAL 07-2025'!A:J,10,0),0)</f>
        <v>-140695192</v>
      </c>
      <c r="K64" s="28">
        <f>IFERROR(VLOOKUP(B64,'[1]MENSUAL 08-2025 '!A:J,10,0),0)</f>
        <v>-178720483</v>
      </c>
      <c r="L64" s="66">
        <f>IFERROR(VLOOKUP(B64,'[1]MENSUAL 09-2025'!A:J,10,0),0)</f>
        <v>-118316255</v>
      </c>
      <c r="M64" s="63">
        <f>IFERROR(VLOOKUP(B64,'[1]MENSUAL 10-2025'!A:J,10,0),0)</f>
        <v>-94007108</v>
      </c>
      <c r="N64" s="63">
        <f>IFERROR(VLOOKUP(B64,'[1]MENSUAL 11-2025'!A:J,10,0),0)</f>
        <v>-220697186</v>
      </c>
      <c r="O64" s="30">
        <f>IFERROR(VLOOKUP(B64,'[1]MENSUAL 12-2025'!A:J,10,0),0)</f>
        <v>-34032460</v>
      </c>
      <c r="P64" s="48">
        <f t="shared" si="11"/>
        <v>-1534384380</v>
      </c>
      <c r="Q64" s="5">
        <f t="shared" si="1"/>
        <v>186664726</v>
      </c>
      <c r="R64" s="6"/>
    </row>
    <row r="65" spans="1:18" x14ac:dyDescent="0.2">
      <c r="B65" s="26" t="s">
        <v>82</v>
      </c>
      <c r="C65" s="41"/>
      <c r="D65" s="28">
        <f>IFERROR(VLOOKUP(B65,'[1]MENSUAL 01-2025'!A:J,10,0),0)</f>
        <v>-391474</v>
      </c>
      <c r="E65" s="28">
        <f>IFERROR(VLOOKUP('[1]EEFF GESTIÓN S.R'!B65,'[1]MENSUAL 02-2025'!A:J,10,0),0)</f>
        <v>-259220</v>
      </c>
      <c r="F65" s="28">
        <f>IFERROR(VLOOKUP(B65,'[1]MENSUAL 03-2025'!A:J,10,0),0)</f>
        <v>-849615</v>
      </c>
      <c r="G65" s="28">
        <f>IFERROR(VLOOKUP(B65,'[1]MENSUAL 04-2025'!A:J,10,0),0)</f>
        <v>-393142</v>
      </c>
      <c r="H65" s="28">
        <f>IFERROR(VLOOKUP(B65,'[1]MENSUAL 05-2025'!A:J,10,0),0)</f>
        <v>-370486</v>
      </c>
      <c r="I65" s="27">
        <f>IFERROR(VLOOKUP(B65,'[1]MENSUAL 06-2025'!A:J,10,0),0)</f>
        <v>-860742</v>
      </c>
      <c r="J65" s="66">
        <f>IFERROR(VLOOKUP(B65,'[1]MENSUAL 07-2025'!A:J,10,0),0)</f>
        <v>-717892</v>
      </c>
      <c r="K65" s="28">
        <f>IFERROR(VLOOKUP(B65,'[1]MENSUAL 08-2025 '!A:J,10,0),0)</f>
        <v>-330816</v>
      </c>
      <c r="L65" s="66">
        <f>IFERROR(VLOOKUP(B65,'[1]MENSUAL 09-2025'!A:J,10,0),0)</f>
        <v>-398643</v>
      </c>
      <c r="M65" s="63">
        <f>IFERROR(VLOOKUP(B65,'[1]MENSUAL 10-2025'!A:J,10,0),0)</f>
        <v>-674649</v>
      </c>
      <c r="N65" s="63">
        <f>IFERROR(VLOOKUP(B65,'[1]MENSUAL 11-2025'!A:J,10,0),0)</f>
        <v>-160904</v>
      </c>
      <c r="O65" s="30">
        <f>IFERROR(VLOOKUP(B65,'[1]MENSUAL 12-2025'!A:J,10,0),0)</f>
        <v>-322082</v>
      </c>
      <c r="P65" s="48">
        <f t="shared" si="11"/>
        <v>-5729665</v>
      </c>
      <c r="Q65" s="5">
        <f t="shared" si="1"/>
        <v>-161178</v>
      </c>
      <c r="R65" s="6"/>
    </row>
    <row r="66" spans="1:18" x14ac:dyDescent="0.2">
      <c r="B66" s="26" t="s">
        <v>83</v>
      </c>
      <c r="C66" s="41"/>
      <c r="D66" s="28">
        <f>IFERROR(VLOOKUP(B66,'[1]MENSUAL 01-2025'!A:J,10,0),0)</f>
        <v>-2067922</v>
      </c>
      <c r="E66" s="28">
        <f>IFERROR(VLOOKUP('[1]EEFF GESTIÓN S.R'!B66,'[1]MENSUAL 02-2025'!A:J,10,0),0)</f>
        <v>-656896</v>
      </c>
      <c r="F66" s="28">
        <f>IFERROR(VLOOKUP(B66,'[1]MENSUAL 03-2025'!A:J,10,0),0)</f>
        <v>-2666694</v>
      </c>
      <c r="G66" s="28">
        <f>IFERROR(VLOOKUP(B66,'[1]MENSUAL 04-2025'!A:J,10,0),0)</f>
        <v>-2114815</v>
      </c>
      <c r="H66" s="28">
        <f>IFERROR(VLOOKUP(B66,'[1]MENSUAL 05-2025'!A:J,10,0),0)</f>
        <v>-2779470</v>
      </c>
      <c r="I66" s="27">
        <f>IFERROR(VLOOKUP(B66,'[1]MENSUAL 06-2025'!A:J,10,0),0)</f>
        <v>-4132632</v>
      </c>
      <c r="J66" s="66">
        <f>IFERROR(VLOOKUP(B66,'[1]MENSUAL 07-2025'!A:J,10,0),0)</f>
        <v>-2669609</v>
      </c>
      <c r="K66" s="28">
        <f>IFERROR(VLOOKUP(B66,'[1]MENSUAL 08-2025 '!A:J,10,0),0)</f>
        <v>-2078566</v>
      </c>
      <c r="L66" s="66">
        <f>IFERROR(VLOOKUP(B66,'[1]MENSUAL 09-2025'!A:J,10,0),0)</f>
        <v>-1537246</v>
      </c>
      <c r="M66" s="63">
        <f>IFERROR(VLOOKUP(B66,'[1]MENSUAL 10-2025'!A:J,10,0),0)</f>
        <v>-1051073</v>
      </c>
      <c r="N66" s="63">
        <f>IFERROR(VLOOKUP(B66,'[1]MENSUAL 11-2025'!A:J,10,0),0)</f>
        <v>-1637195</v>
      </c>
      <c r="O66" s="30">
        <f>IFERROR(VLOOKUP(B66,'[1]MENSUAL 12-2025'!A:J,10,0),0)</f>
        <v>-537150</v>
      </c>
      <c r="P66" s="48">
        <f t="shared" si="11"/>
        <v>-23929268</v>
      </c>
      <c r="Q66" s="5">
        <f t="shared" si="1"/>
        <v>1100045</v>
      </c>
      <c r="R66" s="6"/>
    </row>
    <row r="67" spans="1:18" x14ac:dyDescent="0.2">
      <c r="B67" s="26" t="s">
        <v>84</v>
      </c>
      <c r="C67" s="41"/>
      <c r="D67" s="28">
        <f>IFERROR(VLOOKUP(B67,'[1]MENSUAL 01-2025'!A:J,10,0),0)</f>
        <v>-143259</v>
      </c>
      <c r="E67" s="28">
        <f>IFERROR(VLOOKUP('[1]EEFF GESTIÓN S.R'!B67,'[1]MENSUAL 02-2025'!A:J,10,0),0)</f>
        <v>-288919</v>
      </c>
      <c r="F67" s="28">
        <f>IFERROR(VLOOKUP(B67,'[1]MENSUAL 03-2025'!A:J,10,0),0)</f>
        <v>-96473</v>
      </c>
      <c r="G67" s="28">
        <f>IFERROR(VLOOKUP(B67,'[1]MENSUAL 04-2025'!A:J,10,0),0)</f>
        <v>-98972</v>
      </c>
      <c r="H67" s="28">
        <f>IFERROR(VLOOKUP(B67,'[1]MENSUAL 05-2025'!A:J,10,0),0)</f>
        <v>-266568</v>
      </c>
      <c r="I67" s="27">
        <f>IFERROR(VLOOKUP(B67,'[1]MENSUAL 06-2025'!A:J,10,0),0)</f>
        <v>-275058</v>
      </c>
      <c r="J67" s="66">
        <f>IFERROR(VLOOKUP(B67,'[1]MENSUAL 07-2025'!A:J,10,0),0)</f>
        <v>-275175</v>
      </c>
      <c r="K67" s="28">
        <f>IFERROR(VLOOKUP(B67,'[1]MENSUAL 08-2025 '!A:J,10,0),0)</f>
        <v>-298695</v>
      </c>
      <c r="L67" s="66">
        <f>IFERROR(VLOOKUP(B67,'[1]MENSUAL 09-2025'!A:J,10,0),0)</f>
        <v>-275209</v>
      </c>
      <c r="M67" s="63">
        <f>IFERROR(VLOOKUP(B67,'[1]MENSUAL 10-2025'!A:J,10,0),0)</f>
        <v>-275276</v>
      </c>
      <c r="N67" s="63">
        <f>IFERROR(VLOOKUP(B67,'[1]MENSUAL 11-2025'!A:J,10,0),0)</f>
        <v>-280231</v>
      </c>
      <c r="O67" s="30">
        <f>IFERROR(VLOOKUP(B67,'[1]MENSUAL 12-2025'!A:J,10,0),0)</f>
        <v>-275304</v>
      </c>
      <c r="P67" s="48">
        <f t="shared" si="11"/>
        <v>-2849139</v>
      </c>
      <c r="Q67" s="5">
        <f t="shared" si="1"/>
        <v>4927</v>
      </c>
      <c r="R67" s="6"/>
    </row>
    <row r="68" spans="1:18" ht="12.75" thickBot="1" x14ac:dyDescent="0.25">
      <c r="A68" s="18" t="s">
        <v>85</v>
      </c>
      <c r="B68" s="26" t="s">
        <v>86</v>
      </c>
      <c r="C68" s="41"/>
      <c r="D68" s="28">
        <f>IFERROR(VLOOKUP(B68,'[1]MENSUAL 01-2025'!A:J,10,0),0)</f>
        <v>-2083353</v>
      </c>
      <c r="E68" s="28">
        <f>IFERROR(VLOOKUP('[1]EEFF GESTIÓN S.R'!B68,'[1]MENSUAL 02-2025'!A:J,10,0),0)</f>
        <v>-1813531</v>
      </c>
      <c r="F68" s="28">
        <f>IFERROR(VLOOKUP(B68,'[1]MENSUAL 03-2025'!A:J,10,0),0)</f>
        <v>-2172274</v>
      </c>
      <c r="G68" s="28">
        <f>IFERROR(VLOOKUP(B68,'[1]MENSUAL 04-2025'!A:J,10,0),0)</f>
        <v>-1917898</v>
      </c>
      <c r="H68" s="28">
        <f>IFERROR(VLOOKUP(B68,'[1]MENSUAL 05-2025'!A:J,10,0),0)</f>
        <v>-1538329</v>
      </c>
      <c r="I68" s="27">
        <f>IFERROR(VLOOKUP(B68,'[1]MENSUAL 06-2025'!A:J,10,0),0)</f>
        <v>-1802876</v>
      </c>
      <c r="J68" s="68">
        <f>IFERROR(VLOOKUP(B68,'[1]MENSUAL 07-2025'!A:J,10,0),0)</f>
        <v>-2002166</v>
      </c>
      <c r="K68" s="69">
        <f>IFERROR(VLOOKUP(B68,'[1]MENSUAL 08-2025 '!A:J,10,0),0)</f>
        <v>-1977819</v>
      </c>
      <c r="L68" s="66">
        <f>IFERROR(VLOOKUP(B68,'[1]MENSUAL 09-2025'!A:J,10,0),0)</f>
        <v>-2018058</v>
      </c>
      <c r="M68" s="63">
        <f>IFERROR(VLOOKUP(B68,'[1]MENSUAL 10-2025'!A:J,10,0),0)</f>
        <v>-2026840</v>
      </c>
      <c r="N68" s="63">
        <f>IFERROR(VLOOKUP(B68,'[1]MENSUAL 11-2025'!A:J,10,0),0)</f>
        <v>-1934970</v>
      </c>
      <c r="O68" s="30">
        <f>IFERROR(VLOOKUP(B68,'[1]MENSUAL 12-2025'!A:J,10,0),0)</f>
        <v>-2001698</v>
      </c>
      <c r="P68" s="48">
        <f t="shared" si="11"/>
        <v>-23289812</v>
      </c>
      <c r="Q68" s="5">
        <f t="shared" si="1"/>
        <v>-66728</v>
      </c>
      <c r="R68" s="6"/>
    </row>
    <row r="69" spans="1:18" ht="12.75" thickBot="1" x14ac:dyDescent="0.25">
      <c r="B69" s="56" t="s">
        <v>87</v>
      </c>
      <c r="C69" s="41"/>
      <c r="D69" s="57">
        <f>SUM(D70:D93)</f>
        <v>-29131380</v>
      </c>
      <c r="E69" s="57">
        <f t="shared" ref="E69:P69" si="12">SUM(E70:E93)</f>
        <v>-30881962</v>
      </c>
      <c r="F69" s="57">
        <f t="shared" si="12"/>
        <v>-43421429</v>
      </c>
      <c r="G69" s="57">
        <f t="shared" si="12"/>
        <v>-27242655</v>
      </c>
      <c r="H69" s="57">
        <f t="shared" si="12"/>
        <v>-59449755</v>
      </c>
      <c r="I69" s="58">
        <f t="shared" si="12"/>
        <v>-27900406</v>
      </c>
      <c r="J69" s="59">
        <f t="shared" si="12"/>
        <v>-28325013</v>
      </c>
      <c r="K69" s="57">
        <f t="shared" si="12"/>
        <v>-25884643</v>
      </c>
      <c r="L69" s="57">
        <f t="shared" si="12"/>
        <v>-32701486</v>
      </c>
      <c r="M69" s="57">
        <f t="shared" si="12"/>
        <v>-34907645</v>
      </c>
      <c r="N69" s="57">
        <f t="shared" si="12"/>
        <v>-23254252</v>
      </c>
      <c r="O69" s="57">
        <f t="shared" si="12"/>
        <v>-30531937</v>
      </c>
      <c r="P69" s="60">
        <f t="shared" si="12"/>
        <v>-393632563</v>
      </c>
      <c r="Q69" s="5">
        <f t="shared" si="1"/>
        <v>-7277685</v>
      </c>
      <c r="R69" s="6"/>
    </row>
    <row r="70" spans="1:18" x14ac:dyDescent="0.2">
      <c r="A70" s="18" t="s">
        <v>88</v>
      </c>
      <c r="B70" s="26" t="s">
        <v>89</v>
      </c>
      <c r="C70" s="41"/>
      <c r="D70" s="61">
        <f>IFERROR(VLOOKUP(B70,'[1]MENSUAL 01-2025'!A:J,10,0),0)</f>
        <v>-1652992</v>
      </c>
      <c r="E70" s="61">
        <f>IFERROR(VLOOKUP('[1]EEFF GESTIÓN S.R'!B70,'[1]MENSUAL 02-2025'!A:J,10,0),0)</f>
        <v>-208427</v>
      </c>
      <c r="F70" s="61">
        <f>IFERROR(VLOOKUP(B70,'[1]MENSUAL 03-2025'!A:J,10,0),0)</f>
        <v>-3009205</v>
      </c>
      <c r="G70" s="61">
        <f>IFERROR(VLOOKUP(B70,'[1]MENSUAL 04-2025'!A:J,10,0),0)</f>
        <v>-4280565</v>
      </c>
      <c r="H70" s="61">
        <f>IFERROR(VLOOKUP(B70,'[1]MENSUAL 05-2025'!A:J,10,0),0)</f>
        <v>-1507857</v>
      </c>
      <c r="I70" s="62">
        <f>IFERROR(VLOOKUP(B70,'[1]MENSUAL 06-2025'!A:J,10,0),0)</f>
        <v>-1510562</v>
      </c>
      <c r="J70" s="75">
        <f>IFERROR(VLOOKUP(B70,'[1]MENSUAL 07-2025'!A:J,10,0),0)</f>
        <v>-1510909</v>
      </c>
      <c r="K70" s="61">
        <f>IFERROR(VLOOKUP(B70,'[1]MENSUAL 08-2025 '!A:J,10,0),0)</f>
        <v>-1511897</v>
      </c>
      <c r="L70" s="75">
        <f>IFERROR(VLOOKUP(B70,'[1]MENSUAL 09-2025'!A:J,10,0),0)</f>
        <v>-1519363</v>
      </c>
      <c r="M70" s="75">
        <f>IFERROR(VLOOKUP(B70,'[1]MENSUAL 10-2025'!A:J,10,0),0)</f>
        <v>-1521851</v>
      </c>
      <c r="N70" s="63">
        <f>IFERROR(VLOOKUP(B70,'[1]MENSUAL 11-2025'!A:J,10,0),0)</f>
        <v>-1881364</v>
      </c>
      <c r="O70" s="64">
        <f>IFERROR(VLOOKUP(B70,'[1]MENSUAL 12-2025'!A:J,10,0),0)</f>
        <v>-1716598</v>
      </c>
      <c r="P70" s="72">
        <f t="shared" ref="P70:P93" si="13">SUM(D70:O70)</f>
        <v>-21831590</v>
      </c>
      <c r="Q70" s="5">
        <f t="shared" si="1"/>
        <v>164766</v>
      </c>
      <c r="R70" s="6"/>
    </row>
    <row r="71" spans="1:18" x14ac:dyDescent="0.2">
      <c r="A71" s="18"/>
      <c r="B71" s="67" t="s">
        <v>90</v>
      </c>
      <c r="C71" s="41"/>
      <c r="D71" s="28">
        <f>IFERROR(VLOOKUP(B71,'[1]MENSUAL 01-2025'!A:J,10,0),0)</f>
        <v>-2721966</v>
      </c>
      <c r="E71" s="28">
        <f>IFERROR(VLOOKUP('[1]EEFF GESTIÓN S.R'!B71,'[1]MENSUAL 02-2025'!A:J,10,0),0)</f>
        <v>-1310005</v>
      </c>
      <c r="F71" s="28">
        <f>IFERROR(VLOOKUP(B71,'[1]MENSUAL 03-2025'!A:J,10,0),0)</f>
        <v>-3248237</v>
      </c>
      <c r="G71" s="28">
        <f>IFERROR(VLOOKUP(B71,'[1]MENSUAL 04-2025'!A:J,10,0),0)</f>
        <v>-1341686</v>
      </c>
      <c r="H71" s="28">
        <f>IFERROR(VLOOKUP(B71,'[1]MENSUAL 05-2025'!A:J,10,0),0)</f>
        <v>-2555900</v>
      </c>
      <c r="I71" s="27">
        <f>IFERROR(VLOOKUP(B71,'[1]MENSUAL 06-2025'!A:J,10,0),0)</f>
        <v>-2994473</v>
      </c>
      <c r="J71" s="76">
        <f>IFERROR(VLOOKUP(B71,'[1]MENSUAL 07-2025'!A:J,10,0),0)</f>
        <v>-2783699</v>
      </c>
      <c r="K71" s="28">
        <f>IFERROR(VLOOKUP(B71,'[1]MENSUAL 08-2025 '!A:J,10,0),0)</f>
        <v>-2778626</v>
      </c>
      <c r="L71" s="76">
        <f>IFERROR(VLOOKUP(B71,'[1]MENSUAL 09-2025'!A:J,10,0),0)</f>
        <v>-4285279</v>
      </c>
      <c r="M71" s="75">
        <f>IFERROR(VLOOKUP(B71,'[1]MENSUAL 10-2025'!A:J,10,0),0)</f>
        <v>-4938423</v>
      </c>
      <c r="N71" s="63">
        <f>IFERROR(VLOOKUP(B71,'[1]MENSUAL 11-2025'!A:J,10,0),0)</f>
        <v>-368608</v>
      </c>
      <c r="O71" s="30">
        <f>IFERROR(VLOOKUP(B71,'[1]MENSUAL 12-2025'!A:J,10,0),0)</f>
        <v>-670441</v>
      </c>
      <c r="P71" s="48">
        <f t="shared" si="13"/>
        <v>-29997343</v>
      </c>
      <c r="Q71" s="5">
        <f t="shared" si="1"/>
        <v>-301833</v>
      </c>
      <c r="R71" s="6"/>
    </row>
    <row r="72" spans="1:18" x14ac:dyDescent="0.2">
      <c r="A72" s="18"/>
      <c r="B72" s="67" t="s">
        <v>91</v>
      </c>
      <c r="C72" s="41"/>
      <c r="D72" s="28">
        <f>IFERROR(VLOOKUP(B72,'[1]MENSUAL 01-2025'!A:J,10,0),0)</f>
        <v>-1013870</v>
      </c>
      <c r="E72" s="28">
        <f>IFERROR(VLOOKUP('[1]EEFF GESTIÓN S.R'!B72,'[1]MENSUAL 02-2025'!A:J,10,0),0)</f>
        <v>-1494354</v>
      </c>
      <c r="F72" s="28">
        <f>IFERROR(VLOOKUP(B72,'[1]MENSUAL 03-2025'!A:J,10,0),0)</f>
        <v>-426272</v>
      </c>
      <c r="G72" s="28">
        <f>IFERROR(VLOOKUP(B72,'[1]MENSUAL 04-2025'!A:J,10,0),0)</f>
        <v>0</v>
      </c>
      <c r="H72" s="28">
        <f>IFERROR(VLOOKUP(B72,'[1]MENSUAL 05-2025'!A:J,10,0),0)</f>
        <v>0</v>
      </c>
      <c r="I72" s="27">
        <f>IFERROR(VLOOKUP(B72,'[1]MENSUAL 06-2025'!A:J,10,0),0)</f>
        <v>-727769</v>
      </c>
      <c r="J72" s="76">
        <f>IFERROR(VLOOKUP(B72,'[1]MENSUAL 07-2025'!A:J,10,0),0)</f>
        <v>0</v>
      </c>
      <c r="K72" s="28">
        <f>IFERROR(VLOOKUP(B72,'[1]MENSUAL 08-2025 '!A:J,10,0),0)</f>
        <v>0</v>
      </c>
      <c r="L72" s="76">
        <f>IFERROR(VLOOKUP(B72,'[1]MENSUAL 09-2025'!A:J,10,0),0)</f>
        <v>0</v>
      </c>
      <c r="M72" s="75">
        <f>IFERROR(VLOOKUP(B72,'[1]MENSUAL 10-2025'!A:J,10,0),0)</f>
        <v>-261577</v>
      </c>
      <c r="N72" s="75">
        <f>IFERROR(VLOOKUP(B72,'[1]MENSUAL 11-2025'!A:J,10,0),0)</f>
        <v>0</v>
      </c>
      <c r="O72" s="30">
        <f>IFERROR(VLOOKUP(B72,'[1]MENSUAL 12-2025'!A:J,10,0),0)</f>
        <v>-494461</v>
      </c>
      <c r="P72" s="48">
        <f t="shared" si="13"/>
        <v>-4418303</v>
      </c>
      <c r="Q72" s="5">
        <f t="shared" si="1"/>
        <v>-494461</v>
      </c>
      <c r="R72" s="6"/>
    </row>
    <row r="73" spans="1:18" x14ac:dyDescent="0.2">
      <c r="A73" s="18"/>
      <c r="B73" s="67" t="s">
        <v>92</v>
      </c>
      <c r="C73" s="41"/>
      <c r="D73" s="28">
        <f>IFERROR(VLOOKUP(B73,'[1]MENSUAL 01-2025'!A:J,10,0),0)</f>
        <v>0</v>
      </c>
      <c r="E73" s="28">
        <f>IFERROR(VLOOKUP('[1]EEFF GESTIÓN S.R'!B73,'[1]MENSUAL 02-2025'!A:J,10,0),0)</f>
        <v>0</v>
      </c>
      <c r="F73" s="28">
        <f>IFERROR(VLOOKUP(B73,'[1]MENSUAL 03-2025'!A:J,10,0),0)</f>
        <v>0</v>
      </c>
      <c r="G73" s="28">
        <f>IFERROR(VLOOKUP(B73,'[1]MENSUAL 04-2025'!A:J,10,0),0)</f>
        <v>0</v>
      </c>
      <c r="H73" s="28">
        <f>IFERROR(VLOOKUP(B73,'[1]MENSUAL 05-2025'!A:J,10,0),0)</f>
        <v>0</v>
      </c>
      <c r="I73" s="27">
        <f>IFERROR(VLOOKUP(B73,'[1]MENSUAL 06-2025'!A:J,10,0),0)</f>
        <v>0</v>
      </c>
      <c r="J73" s="76">
        <f>IFERROR(VLOOKUP(B73,'[1]MENSUAL 07-2025'!A:J,10,0),0)</f>
        <v>0</v>
      </c>
      <c r="K73" s="28">
        <f>IFERROR(VLOOKUP(B73,'[1]MENSUAL 08-2025 '!A:J,10,0),0)</f>
        <v>0</v>
      </c>
      <c r="L73" s="76">
        <f>IFERROR(VLOOKUP(B73,'[1]MENSUAL 09-2025'!A:J,10,0),0)</f>
        <v>0</v>
      </c>
      <c r="M73" s="75">
        <f>IFERROR(VLOOKUP(B73,'[1]MENSUAL 10-2025'!A:J,10,0),0)</f>
        <v>0</v>
      </c>
      <c r="N73" s="75">
        <f>IFERROR(VLOOKUP(B73,'[1]MENSUAL 11-2025'!A:J,10,0),0)</f>
        <v>0</v>
      </c>
      <c r="O73" s="30">
        <f>IFERROR(VLOOKUP(B73,'[1]MENSUAL 12-2025'!A:J,10,0),0)</f>
        <v>0</v>
      </c>
      <c r="P73" s="48">
        <f t="shared" si="13"/>
        <v>0</v>
      </c>
      <c r="Q73" s="5">
        <f t="shared" si="1"/>
        <v>0</v>
      </c>
      <c r="R73" s="6"/>
    </row>
    <row r="74" spans="1:18" x14ac:dyDescent="0.2">
      <c r="A74" s="18"/>
      <c r="B74" s="67" t="s">
        <v>93</v>
      </c>
      <c r="C74" s="41"/>
      <c r="D74" s="28">
        <f>IFERROR(VLOOKUP(B74,'[1]MENSUAL 01-2025'!A:J,10,0),0)</f>
        <v>0</v>
      </c>
      <c r="E74" s="28">
        <f>IFERROR(VLOOKUP('[1]EEFF GESTIÓN S.R'!B74,'[1]MENSUAL 02-2025'!A:J,10,0),0)</f>
        <v>-895000</v>
      </c>
      <c r="F74" s="28">
        <f>IFERROR(VLOOKUP(B74,'[1]MENSUAL 03-2025'!A:J,10,0),0)</f>
        <v>0</v>
      </c>
      <c r="G74" s="28">
        <f>IFERROR(VLOOKUP(B74,'[1]MENSUAL 04-2025'!A:J,10,0),0)</f>
        <v>0</v>
      </c>
      <c r="H74" s="28">
        <f>IFERROR(VLOOKUP(B74,'[1]MENSUAL 05-2025'!A:J,10,0),0)</f>
        <v>0</v>
      </c>
      <c r="I74" s="27">
        <f>IFERROR(VLOOKUP(B74,'[1]MENSUAL 06-2025'!A:J,10,0),0)</f>
        <v>-365700</v>
      </c>
      <c r="J74" s="76">
        <f>IFERROR(VLOOKUP(B74,'[1]MENSUAL 07-2025'!A:J,10,0),0)</f>
        <v>0</v>
      </c>
      <c r="K74" s="28">
        <f>IFERROR(VLOOKUP(B74,'[1]MENSUAL 08-2025 '!A:J,10,0),0)</f>
        <v>0</v>
      </c>
      <c r="L74" s="76">
        <f>IFERROR(VLOOKUP(B74,'[1]MENSUAL 09-2025'!A:J,10,0),0)</f>
        <v>0</v>
      </c>
      <c r="M74" s="75">
        <f>IFERROR(VLOOKUP(B74,'[1]MENSUAL 10-2025'!A:J,10,0),0)</f>
        <v>-298800</v>
      </c>
      <c r="N74" s="75">
        <f>IFERROR(VLOOKUP(B74,'[1]MENSUAL 11-2025'!A:J,10,0),0)</f>
        <v>0</v>
      </c>
      <c r="O74" s="30">
        <f>IFERROR(VLOOKUP(B74,'[1]MENSUAL 12-2025'!A:J,10,0),0)</f>
        <v>-1405460</v>
      </c>
      <c r="P74" s="48">
        <f t="shared" si="13"/>
        <v>-2964960</v>
      </c>
      <c r="Q74" s="5">
        <f t="shared" si="1"/>
        <v>-1405460</v>
      </c>
      <c r="R74" s="6"/>
    </row>
    <row r="75" spans="1:18" x14ac:dyDescent="0.2">
      <c r="A75" s="18"/>
      <c r="B75" s="67" t="s">
        <v>94</v>
      </c>
      <c r="C75" s="41"/>
      <c r="D75" s="28">
        <f>IFERROR(VLOOKUP(B75,'[1]MENSUAL 01-2025'!A:J,10,0),0)</f>
        <v>0</v>
      </c>
      <c r="E75" s="28">
        <f>IFERROR(VLOOKUP('[1]EEFF GESTIÓN S.R'!B75,'[1]MENSUAL 02-2025'!A:J,10,0),0)</f>
        <v>0</v>
      </c>
      <c r="F75" s="28">
        <f>IFERROR(VLOOKUP(B75,'[1]MENSUAL 03-2025'!A:J,10,0),0)</f>
        <v>0</v>
      </c>
      <c r="G75" s="28">
        <f>IFERROR(VLOOKUP(B75,'[1]MENSUAL 04-2025'!A:J,10,0),0)</f>
        <v>0</v>
      </c>
      <c r="H75" s="28">
        <f>IFERROR(VLOOKUP(B75,'[1]MENSUAL 05-2025'!A:J,10,0),0)</f>
        <v>0</v>
      </c>
      <c r="I75" s="27">
        <f>IFERROR(VLOOKUP(B75,'[1]MENSUAL 06-2025'!A:J,10,0),0)</f>
        <v>0</v>
      </c>
      <c r="J75" s="76">
        <f>IFERROR(VLOOKUP(B75,'[1]MENSUAL 07-2025'!A:J,10,0),0)</f>
        <v>-1304156</v>
      </c>
      <c r="K75" s="28">
        <f>IFERROR(VLOOKUP(B75,'[1]MENSUAL 08-2025 '!A:J,10,0),0)</f>
        <v>-515105</v>
      </c>
      <c r="L75" s="76">
        <f>IFERROR(VLOOKUP(B75,'[1]MENSUAL 09-2025'!A:J,10,0),0)</f>
        <v>0</v>
      </c>
      <c r="M75" s="75">
        <f>IFERROR(VLOOKUP(B75,'[1]MENSUAL 10-2025'!A:J,10,0),0)</f>
        <v>0</v>
      </c>
      <c r="N75" s="75">
        <f>IFERROR(VLOOKUP(B75,'[1]MENSUAL 11-2025'!A:J,10,0),0)</f>
        <v>0</v>
      </c>
      <c r="O75" s="30">
        <f>IFERROR(VLOOKUP(B75,'[1]MENSUAL 12-2025'!A:J,10,0),0)</f>
        <v>0</v>
      </c>
      <c r="P75" s="48">
        <f t="shared" si="13"/>
        <v>-1819261</v>
      </c>
      <c r="Q75" s="5">
        <f t="shared" si="1"/>
        <v>0</v>
      </c>
      <c r="R75" s="6"/>
    </row>
    <row r="76" spans="1:18" x14ac:dyDescent="0.2">
      <c r="A76" s="18"/>
      <c r="B76" s="67" t="s">
        <v>95</v>
      </c>
      <c r="C76" s="41"/>
      <c r="D76" s="28">
        <f>IFERROR(VLOOKUP(B76,'[1]MENSUAL 01-2025'!A:J,10,0),0)</f>
        <v>-5012468</v>
      </c>
      <c r="E76" s="28">
        <f>IFERROR(VLOOKUP('[1]EEFF GESTIÓN S.R'!B76,'[1]MENSUAL 02-2025'!A:J,10,0),0)</f>
        <v>0</v>
      </c>
      <c r="F76" s="28">
        <f>IFERROR(VLOOKUP(B76,'[1]MENSUAL 03-2025'!A:J,10,0),0)</f>
        <v>-5881081</v>
      </c>
      <c r="G76" s="28">
        <f>IFERROR(VLOOKUP(B76,'[1]MENSUAL 04-2025'!A:J,10,0),0)</f>
        <v>0</v>
      </c>
      <c r="H76" s="28">
        <f>IFERROR(VLOOKUP(B76,'[1]MENSUAL 05-2025'!A:J,10,0),0)</f>
        <v>-2950413</v>
      </c>
      <c r="I76" s="27">
        <f>IFERROR(VLOOKUP(B76,'[1]MENSUAL 06-2025'!A:J,10,0),0)</f>
        <v>-8792642</v>
      </c>
      <c r="J76" s="76">
        <f>IFERROR(VLOOKUP(B76,'[1]MENSUAL 07-2025'!A:J,10,0),0)</f>
        <v>-2953728</v>
      </c>
      <c r="K76" s="28">
        <f>IFERROR(VLOOKUP(B76,'[1]MENSUAL 08-2025 '!A:J,10,0),0)</f>
        <v>-2959520</v>
      </c>
      <c r="L76" s="76">
        <f>IFERROR(VLOOKUP(B76,'[1]MENSUAL 09-2025'!A:J,10,0),0)</f>
        <v>-2963552</v>
      </c>
      <c r="M76" s="75">
        <f>IFERROR(VLOOKUP(B76,'[1]MENSUAL 10-2025'!A:J,10,0),0)</f>
        <v>-2966624</v>
      </c>
      <c r="N76" s="63">
        <f>IFERROR(VLOOKUP(B76,'[1]MENSUAL 11-2025'!A:J,10,0),0)</f>
        <v>-2968595</v>
      </c>
      <c r="O76" s="30">
        <f>IFERROR(VLOOKUP(B76,'[1]MENSUAL 12-2025'!A:J,10,0),0)</f>
        <v>-2971168</v>
      </c>
      <c r="P76" s="48">
        <f t="shared" si="13"/>
        <v>-40419791</v>
      </c>
      <c r="Q76" s="5">
        <f t="shared" ref="Q76:Q139" si="14">+O76-N76</f>
        <v>-2573</v>
      </c>
      <c r="R76" s="6"/>
    </row>
    <row r="77" spans="1:18" x14ac:dyDescent="0.2">
      <c r="A77" s="18"/>
      <c r="B77" s="67" t="s">
        <v>96</v>
      </c>
      <c r="C77" s="41"/>
      <c r="D77" s="28">
        <f>IFERROR(VLOOKUP(B77,'[1]MENSUAL 01-2025'!A:J,10,0),0)</f>
        <v>0</v>
      </c>
      <c r="E77" s="28">
        <f>IFERROR(VLOOKUP('[1]EEFF GESTIÓN S.R'!B77,'[1]MENSUAL 02-2025'!A:J,10,0),0)</f>
        <v>0</v>
      </c>
      <c r="F77" s="28">
        <f>IFERROR(VLOOKUP(B77,'[1]MENSUAL 03-2025'!A:J,10,0),0)</f>
        <v>-1606761</v>
      </c>
      <c r="G77" s="28">
        <f>IFERROR(VLOOKUP(B77,'[1]MENSUAL 04-2025'!A:J,10,0),0)</f>
        <v>-2615000</v>
      </c>
      <c r="H77" s="28">
        <f>IFERROR(VLOOKUP(B77,'[1]MENSUAL 05-2025'!A:J,10,0),0)</f>
        <v>0</v>
      </c>
      <c r="I77" s="27">
        <f>IFERROR(VLOOKUP(B77,'[1]MENSUAL 06-2025'!A:J,10,0),0)</f>
        <v>0</v>
      </c>
      <c r="J77" s="76">
        <f>IFERROR(VLOOKUP(B77,'[1]MENSUAL 07-2025'!A:J,10,0),0)</f>
        <v>-480000</v>
      </c>
      <c r="K77" s="28">
        <f>IFERROR(VLOOKUP(B77,'[1]MENSUAL 08-2025 '!A:J,10,0),0)</f>
        <v>0</v>
      </c>
      <c r="L77" s="76">
        <f>IFERROR(VLOOKUP(B77,'[1]MENSUAL 09-2025'!A:J,10,0),0)</f>
        <v>0</v>
      </c>
      <c r="M77" s="75">
        <f>IFERROR(VLOOKUP(B77,'[1]MENSUAL 10-2025'!A:J,10,0),0)</f>
        <v>0</v>
      </c>
      <c r="N77" s="63">
        <f>IFERROR(VLOOKUP(B77,'[1]MENSUAL 11-2025'!A:J,10,0),0)</f>
        <v>-4390000</v>
      </c>
      <c r="O77" s="30">
        <f>IFERROR(VLOOKUP(B77,'[1]MENSUAL 12-2025'!A:J,10,0),0)</f>
        <v>0</v>
      </c>
      <c r="P77" s="48">
        <f t="shared" si="13"/>
        <v>-9091761</v>
      </c>
      <c r="Q77" s="5">
        <f t="shared" si="14"/>
        <v>4390000</v>
      </c>
      <c r="R77" s="6"/>
    </row>
    <row r="78" spans="1:18" x14ac:dyDescent="0.2">
      <c r="A78" s="18"/>
      <c r="B78" s="67" t="s">
        <v>97</v>
      </c>
      <c r="C78" s="41"/>
      <c r="D78" s="28">
        <f>IFERROR(VLOOKUP(B78,'[1]MENSUAL 01-2025'!A:J,10,0),0)</f>
        <v>-327584</v>
      </c>
      <c r="E78" s="28">
        <f>IFERROR(VLOOKUP('[1]EEFF GESTIÓN S.R'!B78,'[1]MENSUAL 02-2025'!A:J,10,0),0)</f>
        <v>-225000</v>
      </c>
      <c r="F78" s="28">
        <f>IFERROR(VLOOKUP(B78,'[1]MENSUAL 03-2025'!A:J,10,0),0)</f>
        <v>-3787047</v>
      </c>
      <c r="G78" s="28">
        <f>IFERROR(VLOOKUP(B78,'[1]MENSUAL 04-2025'!A:J,10,0),0)</f>
        <v>0</v>
      </c>
      <c r="H78" s="28">
        <f>IFERROR(VLOOKUP(B78,'[1]MENSUAL 05-2025'!A:J,10,0),0)</f>
        <v>-693681</v>
      </c>
      <c r="I78" s="27">
        <f>IFERROR(VLOOKUP(B78,'[1]MENSUAL 06-2025'!A:J,10,0),0)</f>
        <v>-2640000</v>
      </c>
      <c r="J78" s="76">
        <f>IFERROR(VLOOKUP(B78,'[1]MENSUAL 07-2025'!A:J,10,0),0)</f>
        <v>-177898</v>
      </c>
      <c r="K78" s="28">
        <f>IFERROR(VLOOKUP(B78,'[1]MENSUAL 08-2025 '!A:J,10,0),0)</f>
        <v>-590100</v>
      </c>
      <c r="L78" s="76">
        <f>IFERROR(VLOOKUP(B78,'[1]MENSUAL 09-2025'!A:J,10,0),0)</f>
        <v>-59228</v>
      </c>
      <c r="M78" s="75">
        <f>IFERROR(VLOOKUP(B78,'[1]MENSUAL 10-2025'!A:J,10,0),0)</f>
        <v>-80000</v>
      </c>
      <c r="N78" s="63">
        <f>IFERROR(VLOOKUP(B78,'[1]MENSUAL 11-2025'!A:J,10,0),0)</f>
        <v>-829465</v>
      </c>
      <c r="O78" s="30">
        <f>IFERROR(VLOOKUP(B78,'[1]MENSUAL 12-2025'!A:J,10,0),0)</f>
        <v>0</v>
      </c>
      <c r="P78" s="48">
        <f t="shared" si="13"/>
        <v>-9410003</v>
      </c>
      <c r="Q78" s="5">
        <f t="shared" si="14"/>
        <v>829465</v>
      </c>
      <c r="R78" s="6"/>
    </row>
    <row r="79" spans="1:18" x14ac:dyDescent="0.2">
      <c r="A79" s="18"/>
      <c r="B79" s="67" t="s">
        <v>98</v>
      </c>
      <c r="C79" s="41"/>
      <c r="D79" s="28">
        <f>IFERROR(VLOOKUP(B79,'[1]MENSUAL 01-2025'!A:J,10,0),0)</f>
        <v>-15017070</v>
      </c>
      <c r="E79" s="28">
        <f>IFERROR(VLOOKUP('[1]EEFF GESTIÓN S.R'!B79,'[1]MENSUAL 02-2025'!A:J,10,0),0)</f>
        <v>-24214514</v>
      </c>
      <c r="F79" s="28">
        <f>IFERROR(VLOOKUP(B79,'[1]MENSUAL 03-2025'!A:J,10,0),0)</f>
        <v>-9590163</v>
      </c>
      <c r="G79" s="28">
        <f>IFERROR(VLOOKUP(B79,'[1]MENSUAL 04-2025'!A:J,10,0),0)</f>
        <v>-13717730</v>
      </c>
      <c r="H79" s="28">
        <f>IFERROR(VLOOKUP(B79,'[1]MENSUAL 05-2025'!A:J,10,0),0)</f>
        <v>-42295753</v>
      </c>
      <c r="I79" s="27">
        <f>IFERROR(VLOOKUP(B79,'[1]MENSUAL 06-2025'!A:J,10,0),0)</f>
        <v>-5146613</v>
      </c>
      <c r="J79" s="76">
        <f>IFERROR(VLOOKUP(B79,'[1]MENSUAL 07-2025'!A:J,10,0),0)</f>
        <v>-14471217</v>
      </c>
      <c r="K79" s="28">
        <f>IFERROR(VLOOKUP(B79,'[1]MENSUAL 08-2025 '!A:J,10,0),0)</f>
        <v>-11678103</v>
      </c>
      <c r="L79" s="76">
        <f>IFERROR(VLOOKUP(B79,'[1]MENSUAL 09-2025'!A:J,10,0),0)</f>
        <v>-20949066</v>
      </c>
      <c r="M79" s="75">
        <f>IFERROR(VLOOKUP(B79,'[1]MENSUAL 10-2025'!A:J,10,0),0)</f>
        <v>-16841058</v>
      </c>
      <c r="N79" s="63">
        <f>IFERROR(VLOOKUP(B79,'[1]MENSUAL 11-2025'!A:J,10,0),0)</f>
        <v>-10181550</v>
      </c>
      <c r="O79" s="30">
        <f>IFERROR(VLOOKUP(B79,'[1]MENSUAL 12-2025'!A:J,10,0),0)</f>
        <v>-20304112</v>
      </c>
      <c r="P79" s="48">
        <f t="shared" si="13"/>
        <v>-204406949</v>
      </c>
      <c r="Q79" s="5">
        <f t="shared" si="14"/>
        <v>-10122562</v>
      </c>
      <c r="R79" s="6"/>
    </row>
    <row r="80" spans="1:18" x14ac:dyDescent="0.2">
      <c r="A80" s="18"/>
      <c r="B80" s="67" t="s">
        <v>99</v>
      </c>
      <c r="C80" s="41"/>
      <c r="D80" s="28">
        <f>IFERROR(VLOOKUP(B80,'[1]MENSUAL 01-2025'!A:J,10,0),0)</f>
        <v>0</v>
      </c>
      <c r="E80" s="28">
        <f>IFERROR(VLOOKUP('[1]EEFF GESTIÓN S.R'!B80,'[1]MENSUAL 02-2025'!A:J,10,0),0)</f>
        <v>0</v>
      </c>
      <c r="F80" s="28">
        <f>IFERROR(VLOOKUP(B80,'[1]MENSUAL 03-2025'!A:J,10,0),0)</f>
        <v>-369000</v>
      </c>
      <c r="G80" s="28">
        <f>IFERROR(VLOOKUP(B80,'[1]MENSUAL 04-2025'!A:J,10,0),0)</f>
        <v>0</v>
      </c>
      <c r="H80" s="28">
        <f>IFERROR(VLOOKUP(B80,'[1]MENSUAL 05-2025'!A:J,10,0),0)</f>
        <v>0</v>
      </c>
      <c r="I80" s="27">
        <f>IFERROR(VLOOKUP(B80,'[1]MENSUAL 06-2025'!A:J,10,0),0)</f>
        <v>0</v>
      </c>
      <c r="J80" s="76">
        <f>IFERROR(VLOOKUP(B80,'[1]MENSUAL 07-2025'!A:J,10,0),0)</f>
        <v>-552000</v>
      </c>
      <c r="K80" s="28">
        <f>IFERROR(VLOOKUP(B80,'[1]MENSUAL 08-2025 '!A:J,10,0),0)</f>
        <v>0</v>
      </c>
      <c r="L80" s="76">
        <f>IFERROR(VLOOKUP(B80,'[1]MENSUAL 09-2025'!A:J,10,0),0)</f>
        <v>0</v>
      </c>
      <c r="M80" s="75">
        <f>IFERROR(VLOOKUP(B80,'[1]MENSUAL 10-2025'!A:J,10,0),0)</f>
        <v>-3764250</v>
      </c>
      <c r="N80" s="63">
        <f>IFERROR(VLOOKUP(B80,'[1]MENSUAL 11-2025'!A:J,10,0),0)</f>
        <v>-1338240</v>
      </c>
      <c r="O80" s="30">
        <f>IFERROR(VLOOKUP(B80,'[1]MENSUAL 12-2025'!A:J,10,0),0)</f>
        <v>0</v>
      </c>
      <c r="P80" s="48">
        <f t="shared" si="13"/>
        <v>-6023490</v>
      </c>
      <c r="Q80" s="5">
        <f t="shared" si="14"/>
        <v>1338240</v>
      </c>
      <c r="R80" s="6"/>
    </row>
    <row r="81" spans="1:21" x14ac:dyDescent="0.2">
      <c r="A81" s="18"/>
      <c r="B81" s="67" t="s">
        <v>100</v>
      </c>
      <c r="C81" s="41"/>
      <c r="D81" s="28">
        <f>IFERROR(VLOOKUP(B81,'[1]MENSUAL 01-2025'!A:J,10,0),0)</f>
        <v>-450500</v>
      </c>
      <c r="E81" s="28">
        <f>IFERROR(VLOOKUP('[1]EEFF GESTIÓN S.R'!B81,'[1]MENSUAL 02-2025'!A:J,10,0),0)</f>
        <v>0</v>
      </c>
      <c r="F81" s="28">
        <f>IFERROR(VLOOKUP(B81,'[1]MENSUAL 03-2025'!A:J,10,0),0)</f>
        <v>0</v>
      </c>
      <c r="G81" s="28">
        <f>IFERROR(VLOOKUP(B81,'[1]MENSUAL 04-2025'!A:J,10,0),0)</f>
        <v>-440564</v>
      </c>
      <c r="H81" s="28">
        <f>IFERROR(VLOOKUP(B81,'[1]MENSUAL 05-2025'!A:J,10,0),0)</f>
        <v>0</v>
      </c>
      <c r="I81" s="27">
        <f>IFERROR(VLOOKUP(B81,'[1]MENSUAL 06-2025'!A:J,10,0),0)</f>
        <v>0</v>
      </c>
      <c r="J81" s="76">
        <f>IFERROR(VLOOKUP(B81,'[1]MENSUAL 07-2025'!A:J,10,0),0)</f>
        <v>-186750</v>
      </c>
      <c r="K81" s="28">
        <f>IFERROR(VLOOKUP(B81,'[1]MENSUAL 08-2025 '!A:J,10,0),0)</f>
        <v>-460048</v>
      </c>
      <c r="L81" s="76">
        <f>IFERROR(VLOOKUP(B81,'[1]MENSUAL 09-2025'!A:J,10,0),0)</f>
        <v>-827731</v>
      </c>
      <c r="M81" s="75">
        <f>IFERROR(VLOOKUP(B81,'[1]MENSUAL 10-2025'!A:J,10,0),0)</f>
        <v>-547032</v>
      </c>
      <c r="N81" s="75">
        <f>IFERROR(VLOOKUP(B81,'[1]MENSUAL 11-2025'!A:J,10,0),0)</f>
        <v>0</v>
      </c>
      <c r="O81" s="30">
        <f>IFERROR(VLOOKUP(B81,'[1]MENSUAL 12-2025'!A:J,10,0),0)</f>
        <v>0</v>
      </c>
      <c r="P81" s="48">
        <f t="shared" si="13"/>
        <v>-2912625</v>
      </c>
      <c r="Q81" s="5">
        <f t="shared" si="14"/>
        <v>0</v>
      </c>
      <c r="R81" s="6"/>
    </row>
    <row r="82" spans="1:21" x14ac:dyDescent="0.2">
      <c r="A82" s="18"/>
      <c r="B82" s="67" t="s">
        <v>101</v>
      </c>
      <c r="C82" s="41"/>
      <c r="D82" s="28">
        <f>IFERROR(VLOOKUP(B82,'[1]MENSUAL 01-2025'!A:J,10,0),0)</f>
        <v>0</v>
      </c>
      <c r="E82" s="28">
        <f>IFERROR(VLOOKUP('[1]EEFF GESTIÓN S.R'!B82,'[1]MENSUAL 02-2025'!A:J,10,0),0)</f>
        <v>0</v>
      </c>
      <c r="F82" s="28">
        <f>IFERROR(VLOOKUP(B82,'[1]MENSUAL 03-2025'!A:J,10,0),0)</f>
        <v>0</v>
      </c>
      <c r="G82" s="28">
        <f>IFERROR(VLOOKUP(B82,'[1]MENSUAL 04-2025'!A:J,10,0),0)</f>
        <v>0</v>
      </c>
      <c r="H82" s="28">
        <f>IFERROR(VLOOKUP(B82,'[1]MENSUAL 05-2025'!A:J,10,0),0)</f>
        <v>0</v>
      </c>
      <c r="I82" s="27">
        <f>IFERROR(VLOOKUP(B82,'[1]MENSUAL 06-2025'!A:J,10,0),0)</f>
        <v>0</v>
      </c>
      <c r="J82" s="76">
        <f>IFERROR(VLOOKUP(B82,'[1]MENSUAL 07-2025'!A:J,10,0),0)</f>
        <v>0</v>
      </c>
      <c r="K82" s="28">
        <f>IFERROR(VLOOKUP(B82,'[1]MENSUAL 08-2025 '!A:J,10,0),0)</f>
        <v>0</v>
      </c>
      <c r="L82" s="76">
        <f>IFERROR(VLOOKUP(B82,'[1]MENSUAL 09-2025'!A:J,10,0),0)</f>
        <v>0</v>
      </c>
      <c r="M82" s="75">
        <f>IFERROR(VLOOKUP(B82,'[1]MENSUAL 10-2025'!A:J,10,0),0)</f>
        <v>0</v>
      </c>
      <c r="N82" s="75">
        <f>IFERROR(VLOOKUP(B82,'[1]MENSUAL 11-2025'!A:J,10,0),0)</f>
        <v>0</v>
      </c>
      <c r="O82" s="30">
        <f>IFERROR(VLOOKUP(B82,'[1]MENSUAL 12-2025'!A:J,10,0),0)</f>
        <v>0</v>
      </c>
      <c r="P82" s="48">
        <f t="shared" si="13"/>
        <v>0</v>
      </c>
      <c r="Q82" s="5">
        <f t="shared" si="14"/>
        <v>0</v>
      </c>
      <c r="R82" s="6"/>
    </row>
    <row r="83" spans="1:21" x14ac:dyDescent="0.2">
      <c r="A83" s="18"/>
      <c r="B83" s="67" t="s">
        <v>102</v>
      </c>
      <c r="C83" s="41"/>
      <c r="D83" s="28">
        <f>IFERROR(VLOOKUP(B83,'[1]MENSUAL 01-2025'!A:J,10,0),0)</f>
        <v>-165000</v>
      </c>
      <c r="E83" s="28">
        <f>IFERROR(VLOOKUP('[1]EEFF GESTIÓN S.R'!B83,'[1]MENSUAL 02-2025'!A:J,10,0),0)</f>
        <v>-230434</v>
      </c>
      <c r="F83" s="28">
        <f>IFERROR(VLOOKUP(B83,'[1]MENSUAL 03-2025'!A:J,10,0),0)</f>
        <v>0</v>
      </c>
      <c r="G83" s="28">
        <f>IFERROR(VLOOKUP(B83,'[1]MENSUAL 04-2025'!A:J,10,0),0)</f>
        <v>-220000</v>
      </c>
      <c r="H83" s="28">
        <f>IFERROR(VLOOKUP(B83,'[1]MENSUAL 05-2025'!A:J,10,0),0)</f>
        <v>-592101</v>
      </c>
      <c r="I83" s="27">
        <f>IFERROR(VLOOKUP(B83,'[1]MENSUAL 06-2025'!A:J,10,0),0)</f>
        <v>-35000</v>
      </c>
      <c r="J83" s="76">
        <f>IFERROR(VLOOKUP(B83,'[1]MENSUAL 07-2025'!A:J,10,0),0)</f>
        <v>0</v>
      </c>
      <c r="K83" s="28">
        <f>IFERROR(VLOOKUP(B83,'[1]MENSUAL 08-2025 '!A:J,10,0),0)</f>
        <v>-1515958</v>
      </c>
      <c r="L83" s="76">
        <f>IFERROR(VLOOKUP(B83,'[1]MENSUAL 09-2025'!A:J,10,0),0)</f>
        <v>0</v>
      </c>
      <c r="M83" s="75">
        <f>IFERROR(VLOOKUP(B83,'[1]MENSUAL 10-2025'!A:J,10,0),0)</f>
        <v>0</v>
      </c>
      <c r="N83" s="75">
        <f>IFERROR(VLOOKUP(B83,'[1]MENSUAL 11-2025'!A:J,10,0),0)</f>
        <v>0</v>
      </c>
      <c r="O83" s="30">
        <f>IFERROR(VLOOKUP(B83,'[1]MENSUAL 12-2025'!A:J,10,0),0)</f>
        <v>-410200</v>
      </c>
      <c r="P83" s="48">
        <f t="shared" si="13"/>
        <v>-3168693</v>
      </c>
      <c r="Q83" s="5">
        <f t="shared" si="14"/>
        <v>-410200</v>
      </c>
      <c r="R83" s="6"/>
    </row>
    <row r="84" spans="1:21" x14ac:dyDescent="0.2">
      <c r="A84" s="18"/>
      <c r="B84" s="67" t="s">
        <v>103</v>
      </c>
      <c r="C84" s="41"/>
      <c r="D84" s="28">
        <f>IFERROR(VLOOKUP(B84,'[1]MENSUAL 01-2025'!A:J,10,0),0)</f>
        <v>-383500</v>
      </c>
      <c r="E84" s="28">
        <f>IFERROR(VLOOKUP('[1]EEFF GESTIÓN S.R'!B84,'[1]MENSUAL 02-2025'!A:J,10,0),0)</f>
        <v>0</v>
      </c>
      <c r="F84" s="28">
        <f>IFERROR(VLOOKUP(B84,'[1]MENSUAL 03-2025'!A:J,10,0),0)</f>
        <v>-1700050</v>
      </c>
      <c r="G84" s="28">
        <f>IFERROR(VLOOKUP(B84,'[1]MENSUAL 04-2025'!A:J,10,0),0)</f>
        <v>-2100000</v>
      </c>
      <c r="H84" s="28">
        <f>IFERROR(VLOOKUP(B84,'[1]MENSUAL 05-2025'!A:J,10,0),0)</f>
        <v>-1809820</v>
      </c>
      <c r="I84" s="27">
        <f>IFERROR(VLOOKUP(B84,'[1]MENSUAL 06-2025'!A:J,10,0),0)</f>
        <v>-947100</v>
      </c>
      <c r="J84" s="76">
        <f>IFERROR(VLOOKUP(B84,'[1]MENSUAL 07-2025'!A:J,10,0),0)</f>
        <v>-21161</v>
      </c>
      <c r="K84" s="28">
        <f>IFERROR(VLOOKUP(B84,'[1]MENSUAL 08-2025 '!A:J,10,0),0)</f>
        <v>-1276756</v>
      </c>
      <c r="L84" s="76">
        <f>IFERROR(VLOOKUP(B84,'[1]MENSUAL 09-2025'!A:J,10,0),0)</f>
        <v>0</v>
      </c>
      <c r="M84" s="75">
        <f>IFERROR(VLOOKUP(B84,'[1]MENSUAL 10-2025'!A:J,10,0),0)</f>
        <v>-1428500</v>
      </c>
      <c r="N84" s="75">
        <f>IFERROR(VLOOKUP(B84,'[1]MENSUAL 11-2025'!A:J,10,0),0)</f>
        <v>0</v>
      </c>
      <c r="O84" s="30">
        <f>IFERROR(VLOOKUP(B84,'[1]MENSUAL 12-2025'!A:J,10,0),0)</f>
        <v>-195000</v>
      </c>
      <c r="P84" s="48">
        <f t="shared" si="13"/>
        <v>-9861887</v>
      </c>
      <c r="Q84" s="5">
        <f t="shared" si="14"/>
        <v>-195000</v>
      </c>
      <c r="R84" s="6"/>
    </row>
    <row r="85" spans="1:21" x14ac:dyDescent="0.2">
      <c r="A85" s="18"/>
      <c r="B85" s="67" t="s">
        <v>104</v>
      </c>
      <c r="C85" s="41"/>
      <c r="D85" s="28">
        <f>IFERROR(VLOOKUP(B85,'[1]MENSUAL 01-2025'!A:J,10,0),0)</f>
        <v>0</v>
      </c>
      <c r="E85" s="28">
        <f>IFERROR(VLOOKUP('[1]EEFF GESTIÓN S.R'!B85,'[1]MENSUAL 02-2025'!A:J,10,0),0)</f>
        <v>0</v>
      </c>
      <c r="F85" s="28">
        <f>IFERROR(VLOOKUP(B85,'[1]MENSUAL 03-2025'!A:J,10,0),0)</f>
        <v>-867016</v>
      </c>
      <c r="G85" s="28">
        <f>IFERROR(VLOOKUP(B85,'[1]MENSUAL 04-2025'!A:J,10,0),0)</f>
        <v>0</v>
      </c>
      <c r="H85" s="28">
        <f>IFERROR(VLOOKUP(B85,'[1]MENSUAL 05-2025'!A:J,10,0),0)</f>
        <v>0</v>
      </c>
      <c r="I85" s="27">
        <f>IFERROR(VLOOKUP(B85,'[1]MENSUAL 06-2025'!A:J,10,0),0)</f>
        <v>0</v>
      </c>
      <c r="J85" s="76">
        <f>IFERROR(VLOOKUP(B85,'[1]MENSUAL 07-2025'!A:J,10,0),0)</f>
        <v>0</v>
      </c>
      <c r="K85" s="28">
        <f>IFERROR(VLOOKUP(B85,'[1]MENSUAL 08-2025 '!A:J,10,0),0)</f>
        <v>0</v>
      </c>
      <c r="L85" s="76">
        <f>IFERROR(VLOOKUP(B85,'[1]MENSUAL 09-2025'!A:J,10,0),0)</f>
        <v>0</v>
      </c>
      <c r="M85" s="75">
        <f>IFERROR(VLOOKUP(B85,'[1]MENSUAL 10-2025'!A:J,10,0),0)</f>
        <v>0</v>
      </c>
      <c r="N85" s="75">
        <f>IFERROR(VLOOKUP(B85,'[1]MENSUAL 11-2025'!A:J,10,0),0)</f>
        <v>0</v>
      </c>
      <c r="O85" s="30">
        <f>IFERROR(VLOOKUP(B85,'[1]MENSUAL 12-2025'!A:J,10,0),0)</f>
        <v>0</v>
      </c>
      <c r="P85" s="48">
        <f t="shared" si="13"/>
        <v>-867016</v>
      </c>
      <c r="Q85" s="5">
        <f t="shared" si="14"/>
        <v>0</v>
      </c>
      <c r="R85" s="6"/>
    </row>
    <row r="86" spans="1:21" x14ac:dyDescent="0.2">
      <c r="A86" s="18"/>
      <c r="B86" s="67" t="s">
        <v>105</v>
      </c>
      <c r="C86" s="41"/>
      <c r="D86" s="28">
        <f>IFERROR(VLOOKUP(B86,'[1]MENSUAL 01-2025'!A:J,10,0),0)</f>
        <v>0</v>
      </c>
      <c r="E86" s="28">
        <f>IFERROR(VLOOKUP('[1]EEFF GESTIÓN S.R'!B86,'[1]MENSUAL 02-2025'!A:J,10,0),0)</f>
        <v>0</v>
      </c>
      <c r="F86" s="28">
        <f>IFERROR(VLOOKUP(B86,'[1]MENSUAL 03-2025'!A:J,10,0),0)</f>
        <v>0</v>
      </c>
      <c r="G86" s="28">
        <f>IFERROR(VLOOKUP(B86,'[1]MENSUAL 04-2025'!A:J,10,0),0)</f>
        <v>0</v>
      </c>
      <c r="H86" s="28">
        <f>IFERROR(VLOOKUP(B86,'[1]MENSUAL 05-2025'!A:J,10,0),0)</f>
        <v>-782800</v>
      </c>
      <c r="I86" s="27">
        <f>IFERROR(VLOOKUP(B86,'[1]MENSUAL 06-2025'!A:J,10,0),0)</f>
        <v>0</v>
      </c>
      <c r="J86" s="76">
        <f>IFERROR(VLOOKUP(B86,'[1]MENSUAL 07-2025'!A:J,10,0),0)</f>
        <v>0</v>
      </c>
      <c r="K86" s="28">
        <f>IFERROR(VLOOKUP(B86,'[1]MENSUAL 08-2025 '!A:J,10,0),0)</f>
        <v>0</v>
      </c>
      <c r="L86" s="76">
        <f>IFERROR(VLOOKUP(B86,'[1]MENSUAL 09-2025'!A:J,10,0),0)</f>
        <v>0</v>
      </c>
      <c r="M86" s="75">
        <f>IFERROR(VLOOKUP(B86,'[1]MENSUAL 10-2025'!A:J,10,0),0)</f>
        <v>0</v>
      </c>
      <c r="N86" s="75">
        <f>IFERROR(VLOOKUP(B86,'[1]MENSUAL 11-2025'!A:J,10,0),0)</f>
        <v>0</v>
      </c>
      <c r="O86" s="30">
        <f>IFERROR(VLOOKUP(B86,'[1]MENSUAL 12-2025'!A:J,10,0),0)</f>
        <v>0</v>
      </c>
      <c r="P86" s="48">
        <f t="shared" si="13"/>
        <v>-782800</v>
      </c>
      <c r="Q86" s="5">
        <f t="shared" si="14"/>
        <v>0</v>
      </c>
      <c r="R86" s="6"/>
    </row>
    <row r="87" spans="1:21" x14ac:dyDescent="0.2">
      <c r="A87" s="18"/>
      <c r="B87" s="67" t="s">
        <v>106</v>
      </c>
      <c r="C87" s="41"/>
      <c r="D87" s="28">
        <f>IFERROR(VLOOKUP(B87,'[1]MENSUAL 01-2025'!A:J,10,0),0)</f>
        <v>0</v>
      </c>
      <c r="E87" s="28">
        <f>IFERROR(VLOOKUP('[1]EEFF GESTIÓN S.R'!B87,'[1]MENSUAL 02-2025'!A:J,10,0),0)</f>
        <v>0</v>
      </c>
      <c r="F87" s="28">
        <f>IFERROR(VLOOKUP(B87,'[1]MENSUAL 03-2025'!A:J,10,0),0)</f>
        <v>0</v>
      </c>
      <c r="G87" s="28">
        <f>IFERROR(VLOOKUP(B87,'[1]MENSUAL 04-2025'!A:J,10,0),0)</f>
        <v>0</v>
      </c>
      <c r="H87" s="28">
        <f>IFERROR(VLOOKUP(B87,'[1]MENSUAL 05-2025'!A:J,10,0),0)</f>
        <v>0</v>
      </c>
      <c r="I87" s="27">
        <f>IFERROR(VLOOKUP(B87,'[1]MENSUAL 06-2025'!A:J,10,0),0)</f>
        <v>0</v>
      </c>
      <c r="J87" s="76">
        <f>IFERROR(VLOOKUP(B87,'[1]MENSUAL 07-2025'!A:J,10,0),0)</f>
        <v>-1191213</v>
      </c>
      <c r="K87" s="28">
        <f>IFERROR(VLOOKUP(B87,'[1]MENSUAL 08-2025 '!A:J,10,0),0)</f>
        <v>0</v>
      </c>
      <c r="L87" s="76">
        <f>IFERROR(VLOOKUP(B87,'[1]MENSUAL 09-2025'!A:J,10,0),0)</f>
        <v>0</v>
      </c>
      <c r="M87" s="75">
        <f>IFERROR(VLOOKUP(B87,'[1]MENSUAL 10-2025'!A:J,10,0),0)</f>
        <v>0</v>
      </c>
      <c r="N87" s="75">
        <f>IFERROR(VLOOKUP(B87,'[1]MENSUAL 11-2025'!A:J,10,0),0)</f>
        <v>0</v>
      </c>
      <c r="O87" s="30">
        <f>IFERROR(VLOOKUP(B87,'[1]MENSUAL 12-2025'!A:J,10,0),0)</f>
        <v>0</v>
      </c>
      <c r="P87" s="48">
        <f t="shared" si="13"/>
        <v>-1191213</v>
      </c>
      <c r="Q87" s="5">
        <f t="shared" si="14"/>
        <v>0</v>
      </c>
      <c r="R87" s="6"/>
    </row>
    <row r="88" spans="1:21" x14ac:dyDescent="0.2">
      <c r="A88" s="18"/>
      <c r="B88" s="26" t="s">
        <v>107</v>
      </c>
      <c r="C88" s="41"/>
      <c r="D88" s="28">
        <f>IFERROR(VLOOKUP(B88,'[1]MENSUAL 01-2025'!A:J,10,0),0)</f>
        <v>0</v>
      </c>
      <c r="E88" s="28">
        <f>IFERROR(VLOOKUP('[1]EEFF GESTIÓN S.R'!B88,'[1]MENSUAL 02-2025'!A:J,10,0),0)</f>
        <v>0</v>
      </c>
      <c r="F88" s="28">
        <f>IFERROR(VLOOKUP(B88,'[1]MENSUAL 03-2025'!A:J,10,0),0)</f>
        <v>0</v>
      </c>
      <c r="G88" s="28">
        <f>IFERROR(VLOOKUP(B88,'[1]MENSUAL 04-2025'!A:J,10,0),0)</f>
        <v>-480680</v>
      </c>
      <c r="H88" s="28">
        <f>IFERROR(VLOOKUP(B88,'[1]MENSUAL 05-2025'!A:J,10,0),0)</f>
        <v>0</v>
      </c>
      <c r="I88" s="27">
        <f>IFERROR(VLOOKUP(B88,'[1]MENSUAL 06-2025'!A:J,10,0),0)</f>
        <v>0</v>
      </c>
      <c r="J88" s="76">
        <f>IFERROR(VLOOKUP(B88,'[1]MENSUAL 07-2025'!A:J,10,0),0)</f>
        <v>-58000</v>
      </c>
      <c r="K88" s="28">
        <f>IFERROR(VLOOKUP(B88,'[1]MENSUAL 08-2025 '!A:J,10,0),0)</f>
        <v>-54600</v>
      </c>
      <c r="L88" s="76">
        <f>IFERROR(VLOOKUP(B88,'[1]MENSUAL 09-2025'!A:J,10,0),0)</f>
        <v>-290837</v>
      </c>
      <c r="M88" s="75">
        <f>IFERROR(VLOOKUP(B88,'[1]MENSUAL 10-2025'!A:J,10,0),0)</f>
        <v>0</v>
      </c>
      <c r="N88" s="75">
        <f>IFERROR(VLOOKUP(B88,'[1]MENSUAL 11-2025'!A:J,10,0),0)</f>
        <v>0</v>
      </c>
      <c r="O88" s="30">
        <f>IFERROR(VLOOKUP(B88,'[1]MENSUAL 12-2025'!A:J,10,0),0)</f>
        <v>0</v>
      </c>
      <c r="P88" s="48">
        <f t="shared" si="13"/>
        <v>-884117</v>
      </c>
      <c r="Q88" s="5">
        <f t="shared" si="14"/>
        <v>0</v>
      </c>
      <c r="R88" s="6"/>
    </row>
    <row r="89" spans="1:21" x14ac:dyDescent="0.2">
      <c r="A89" s="18"/>
      <c r="B89" s="67" t="s">
        <v>108</v>
      </c>
      <c r="C89" s="41"/>
      <c r="D89" s="28">
        <f>IFERROR(VLOOKUP(B89,'[1]MENSUAL 01-2025'!A:J,10,0),0)</f>
        <v>0</v>
      </c>
      <c r="E89" s="28">
        <f>IFERROR(VLOOKUP('[1]EEFF GESTIÓN S.R'!B89,'[1]MENSUAL 02-2025'!A:J,10,0),0)</f>
        <v>0</v>
      </c>
      <c r="F89" s="28">
        <f>IFERROR(VLOOKUP(B89,'[1]MENSUAL 03-2025'!A:J,10,0),0)</f>
        <v>-764900</v>
      </c>
      <c r="G89" s="28">
        <f>IFERROR(VLOOKUP(B89,'[1]MENSUAL 04-2025'!A:J,10,0),0)</f>
        <v>0</v>
      </c>
      <c r="H89" s="28">
        <f>IFERROR(VLOOKUP(B89,'[1]MENSUAL 05-2025'!A:J,10,0),0)</f>
        <v>0</v>
      </c>
      <c r="I89" s="27">
        <f>IFERROR(VLOOKUP(B89,'[1]MENSUAL 06-2025'!A:J,10,0),0)</f>
        <v>0</v>
      </c>
      <c r="J89" s="76">
        <f>IFERROR(VLOOKUP(B89,'[1]MENSUAL 07-2025'!A:J,10,0),0)</f>
        <v>0</v>
      </c>
      <c r="K89" s="28">
        <f>IFERROR(VLOOKUP(B89,'[1]MENSUAL 08-2025 '!A:J,10,0),0)</f>
        <v>0</v>
      </c>
      <c r="L89" s="76">
        <f>IFERROR(VLOOKUP(B89,'[1]MENSUAL 09-2025'!A:J,10,0),0)</f>
        <v>0</v>
      </c>
      <c r="M89" s="75">
        <f>IFERROR(VLOOKUP(B89,'[1]MENSUAL 10-2025'!A:J,10,0),0)</f>
        <v>0</v>
      </c>
      <c r="N89" s="75">
        <f>IFERROR(VLOOKUP(B89,'[1]MENSUAL 11-2025'!A:J,10,0),0)</f>
        <v>0</v>
      </c>
      <c r="O89" s="30">
        <f>IFERROR(VLOOKUP(B89,'[1]MENSUAL 12-2025'!A:J,10,0),0)</f>
        <v>0</v>
      </c>
      <c r="P89" s="48">
        <f t="shared" si="13"/>
        <v>-764900</v>
      </c>
      <c r="Q89" s="5">
        <f t="shared" si="14"/>
        <v>0</v>
      </c>
      <c r="R89" s="6"/>
    </row>
    <row r="90" spans="1:21" x14ac:dyDescent="0.2">
      <c r="A90" s="18"/>
      <c r="B90" s="67" t="s">
        <v>109</v>
      </c>
      <c r="C90" s="41"/>
      <c r="D90" s="28">
        <f>IFERROR(VLOOKUP(B90,'[1]MENSUAL 01-2025'!A:J,10,0),0)</f>
        <v>-600000</v>
      </c>
      <c r="E90" s="28">
        <f>IFERROR(VLOOKUP('[1]EEFF GESTIÓN S.R'!B90,'[1]MENSUAL 02-2025'!A:J,10,0),0)</f>
        <v>0</v>
      </c>
      <c r="F90" s="28">
        <f>IFERROR(VLOOKUP(B90,'[1]MENSUAL 03-2025'!A:J,10,0),0)</f>
        <v>0</v>
      </c>
      <c r="G90" s="28">
        <f>IFERROR(VLOOKUP(B90,'[1]MENSUAL 04-2025'!A:J,10,0),0)</f>
        <v>0</v>
      </c>
      <c r="H90" s="28">
        <f>IFERROR(VLOOKUP(B90,'[1]MENSUAL 05-2025'!A:J,10,0),0)</f>
        <v>0</v>
      </c>
      <c r="I90" s="27">
        <f>IFERROR(VLOOKUP(B90,'[1]MENSUAL 06-2025'!A:J,10,0),0)</f>
        <v>0</v>
      </c>
      <c r="J90" s="76">
        <f>IFERROR(VLOOKUP(B90,'[1]MENSUAL 07-2025'!A:J,10,0),0)</f>
        <v>-840000</v>
      </c>
      <c r="K90" s="28">
        <f>IFERROR(VLOOKUP(B90,'[1]MENSUAL 08-2025 '!A:J,10,0),0)</f>
        <v>0</v>
      </c>
      <c r="L90" s="76">
        <f>IFERROR(VLOOKUP(B90,'[1]MENSUAL 09-2025'!A:J,10,0),0)</f>
        <v>0</v>
      </c>
      <c r="M90" s="75">
        <f>IFERROR(VLOOKUP(B90,'[1]MENSUAL 10-2025'!A:J,10,0),0)</f>
        <v>0</v>
      </c>
      <c r="N90" s="75">
        <f>IFERROR(VLOOKUP(B90,'[1]MENSUAL 11-2025'!A:J,10,0),0)</f>
        <v>0</v>
      </c>
      <c r="O90" s="30">
        <f>IFERROR(VLOOKUP(B90,'[1]MENSUAL 12-2025'!A:J,10,0),0)</f>
        <v>0</v>
      </c>
      <c r="P90" s="48">
        <f t="shared" si="13"/>
        <v>-1440000</v>
      </c>
      <c r="Q90" s="5">
        <f t="shared" si="14"/>
        <v>0</v>
      </c>
      <c r="R90" s="6"/>
    </row>
    <row r="91" spans="1:21" x14ac:dyDescent="0.2">
      <c r="A91" s="18"/>
      <c r="B91" s="67" t="s">
        <v>110</v>
      </c>
      <c r="C91" s="41"/>
      <c r="D91" s="28">
        <f>IFERROR(VLOOKUP(B91,'[1]MENSUAL 01-2025'!A:J,10,0),0)</f>
        <v>0</v>
      </c>
      <c r="E91" s="28">
        <f>IFERROR(VLOOKUP('[1]EEFF GESTIÓN S.R'!B91,'[1]MENSUAL 02-2025'!A:J,10,0),0)</f>
        <v>-537798</v>
      </c>
      <c r="F91" s="28">
        <f>IFERROR(VLOOKUP(B91,'[1]MENSUAL 03-2025'!A:J,10,0),0)</f>
        <v>0</v>
      </c>
      <c r="G91" s="28">
        <f>IFERROR(VLOOKUP(B91,'[1]MENSUAL 04-2025'!A:J,10,0),0)</f>
        <v>0</v>
      </c>
      <c r="H91" s="28">
        <f>IFERROR(VLOOKUP(B91,'[1]MENSUAL 05-2025'!A:J,10,0),0)</f>
        <v>0</v>
      </c>
      <c r="I91" s="27">
        <f>IFERROR(VLOOKUP(B91,'[1]MENSUAL 06-2025'!A:J,10,0),0)</f>
        <v>0</v>
      </c>
      <c r="J91" s="76">
        <f>IFERROR(VLOOKUP(B91,'[1]MENSUAL 07-2025'!A:J,10,0),0)</f>
        <v>0</v>
      </c>
      <c r="K91" s="28">
        <f>IFERROR(VLOOKUP(B91,'[1]MENSUAL 08-2025 '!A:J,10,0),0)</f>
        <v>0</v>
      </c>
      <c r="L91" s="76">
        <f>IFERROR(VLOOKUP(B91,'[1]MENSUAL 09-2025'!A:J,10,0),0)</f>
        <v>0</v>
      </c>
      <c r="M91" s="75">
        <f>IFERROR(VLOOKUP(B91,'[1]MENSUAL 10-2025'!A:J,10,0),0)</f>
        <v>0</v>
      </c>
      <c r="N91" s="75">
        <f>IFERROR(VLOOKUP(B91,'[1]MENSUAL 11-2025'!A:J,10,0),0)</f>
        <v>0</v>
      </c>
      <c r="O91" s="30">
        <f>IFERROR(VLOOKUP(B91,'[1]MENSUAL 12-2025'!A:J,10,0),0)</f>
        <v>0</v>
      </c>
      <c r="P91" s="48">
        <f t="shared" si="13"/>
        <v>-537798</v>
      </c>
      <c r="Q91" s="5">
        <f t="shared" si="14"/>
        <v>0</v>
      </c>
      <c r="R91" s="6"/>
    </row>
    <row r="92" spans="1:21" x14ac:dyDescent="0.2">
      <c r="A92" s="18"/>
      <c r="B92" s="26" t="s">
        <v>111</v>
      </c>
      <c r="C92" s="41"/>
      <c r="D92" s="28">
        <f>IFERROR(VLOOKUP(B92,'[1]MENSUAL 01-2025'!A:J,10,0),0)</f>
        <v>-1786430</v>
      </c>
      <c r="E92" s="28">
        <f>IFERROR(VLOOKUP('[1]EEFF GESTIÓN S.R'!B92,'[1]MENSUAL 02-2025'!A:J,10,0),0)</f>
        <v>-1766430</v>
      </c>
      <c r="F92" s="28">
        <f>IFERROR(VLOOKUP(B92,'[1]MENSUAL 03-2025'!A:J,10,0),0)</f>
        <v>-12171697</v>
      </c>
      <c r="G92" s="28">
        <f>IFERROR(VLOOKUP(B92,'[1]MENSUAL 04-2025'!A:J,10,0),0)</f>
        <v>-2046430</v>
      </c>
      <c r="H92" s="28">
        <f>IFERROR(VLOOKUP(B92,'[1]MENSUAL 05-2025'!A:J,10,0),0)</f>
        <v>-6261430</v>
      </c>
      <c r="I92" s="27">
        <f>IFERROR(VLOOKUP(B92,'[1]MENSUAL 06-2025'!A:J,10,0),0)</f>
        <v>-4740547</v>
      </c>
      <c r="J92" s="76">
        <f>IFERROR(VLOOKUP(B92,'[1]MENSUAL 07-2025'!A:J,10,0),0)</f>
        <v>-1794282</v>
      </c>
      <c r="K92" s="28">
        <f>IFERROR(VLOOKUP(B92,'[1]MENSUAL 08-2025 '!A:J,10,0),0)</f>
        <v>-2543930</v>
      </c>
      <c r="L92" s="76">
        <f>IFERROR(VLOOKUP(B92,'[1]MENSUAL 09-2025'!A:J,10,0),0)</f>
        <v>-1806430</v>
      </c>
      <c r="M92" s="75">
        <f>IFERROR(VLOOKUP(B92,'[1]MENSUAL 10-2025'!A:J,10,0),0)</f>
        <v>-2259530</v>
      </c>
      <c r="N92" s="63">
        <f>IFERROR(VLOOKUP(B92,'[1]MENSUAL 11-2025'!A:J,10,0),0)</f>
        <v>-1296430</v>
      </c>
      <c r="O92" s="30">
        <f>IFERROR(VLOOKUP(B92,'[1]MENSUAL 12-2025'!A:J,10,0),0)</f>
        <v>-2364497</v>
      </c>
      <c r="P92" s="48">
        <f t="shared" si="13"/>
        <v>-40838063</v>
      </c>
      <c r="Q92" s="5">
        <f t="shared" si="14"/>
        <v>-1068067</v>
      </c>
      <c r="R92" s="6"/>
    </row>
    <row r="93" spans="1:21" ht="12.75" thickBot="1" x14ac:dyDescent="0.25">
      <c r="A93" s="18"/>
      <c r="B93" s="26" t="s">
        <v>112</v>
      </c>
      <c r="C93" s="41"/>
      <c r="D93" s="28">
        <f>IFERROR(VLOOKUP(B93,'[1]MENSUAL 01-2025'!A:J,10,0),0)</f>
        <v>0</v>
      </c>
      <c r="E93" s="28">
        <f>IFERROR(VLOOKUP('[1]EEFF GESTIÓN S.R'!B93,'[1]MENSUAL 02-2025'!A:J,10,0),0)</f>
        <v>0</v>
      </c>
      <c r="F93" s="28">
        <f>IFERROR(VLOOKUP(B93,'[1]MENSUAL 03-2025'!A:J,10,0),0)</f>
        <v>0</v>
      </c>
      <c r="G93" s="28">
        <f>IFERROR(VLOOKUP(B93,'[1]MENSUAL 04-2025'!A:J,10,0),0)</f>
        <v>0</v>
      </c>
      <c r="H93" s="28">
        <f>IFERROR(VLOOKUP(B93,'[1]MENSUAL 05-2025'!A:J,10,0),0)</f>
        <v>0</v>
      </c>
      <c r="I93" s="27">
        <f>IFERROR(VLOOKUP(B93,'[1]MENSUAL 06-2025'!A:J,10,0),0)</f>
        <v>0</v>
      </c>
      <c r="J93" s="77">
        <f>IFERROR(VLOOKUP(B93,'[1]MENSUAL 07-2025'!A:J,10,0),0)</f>
        <v>0</v>
      </c>
      <c r="K93" s="69">
        <f>IFERROR(VLOOKUP(B93,'[1]MENSUAL 08-2025 '!A:J,10,0),0)</f>
        <v>0</v>
      </c>
      <c r="L93" s="76">
        <f>IFERROR(VLOOKUP(B93,'[1]MENSUAL 09-2025'!A:J,10,0),0)</f>
        <v>0</v>
      </c>
      <c r="M93" s="75">
        <f>IFERROR(VLOOKUP(B93,'[1]MENSUAL 10-2025'!A:J,10,0),0)</f>
        <v>0</v>
      </c>
      <c r="N93" s="75">
        <f>IFERROR(VLOOKUP(B93,'[1]MENSUAL 11-2025'!A:J,10,0),0)</f>
        <v>0</v>
      </c>
      <c r="O93" s="30">
        <f>IFERROR(VLOOKUP(B93,'[1]MENSUAL 12-2025'!A:J,10,0),0)</f>
        <v>0</v>
      </c>
      <c r="P93" s="48">
        <f t="shared" si="13"/>
        <v>0</v>
      </c>
      <c r="Q93" s="5">
        <f t="shared" si="14"/>
        <v>0</v>
      </c>
      <c r="R93" s="6"/>
    </row>
    <row r="94" spans="1:21" ht="12.75" thickBot="1" x14ac:dyDescent="0.25">
      <c r="A94" s="18" t="s">
        <v>113</v>
      </c>
      <c r="B94" s="56" t="s">
        <v>114</v>
      </c>
      <c r="C94" s="41"/>
      <c r="D94" s="57">
        <f>SUM(D95:D100)</f>
        <v>-35405964</v>
      </c>
      <c r="E94" s="57">
        <f t="shared" ref="E94:P94" si="15">SUM(E95:E100)</f>
        <v>-19172143</v>
      </c>
      <c r="F94" s="57">
        <f t="shared" si="15"/>
        <v>-72728376</v>
      </c>
      <c r="G94" s="57">
        <f t="shared" si="15"/>
        <v>-57745981</v>
      </c>
      <c r="H94" s="57">
        <f t="shared" si="15"/>
        <v>-45864230</v>
      </c>
      <c r="I94" s="58">
        <f t="shared" si="15"/>
        <v>-78164111</v>
      </c>
      <c r="J94" s="59">
        <f t="shared" si="15"/>
        <v>-109537912</v>
      </c>
      <c r="K94" s="57">
        <f t="shared" si="15"/>
        <v>-48815023</v>
      </c>
      <c r="L94" s="57">
        <f t="shared" si="15"/>
        <v>-51655283</v>
      </c>
      <c r="M94" s="57">
        <f t="shared" si="15"/>
        <v>-30111444</v>
      </c>
      <c r="N94" s="57">
        <f t="shared" si="15"/>
        <v>-52625406</v>
      </c>
      <c r="O94" s="57">
        <f t="shared" si="15"/>
        <v>-41250179</v>
      </c>
      <c r="P94" s="60">
        <f t="shared" si="15"/>
        <v>-643076052</v>
      </c>
      <c r="Q94" s="5">
        <f t="shared" si="14"/>
        <v>11375227</v>
      </c>
      <c r="R94" s="6"/>
      <c r="U94" s="78"/>
    </row>
    <row r="95" spans="1:21" x14ac:dyDescent="0.2">
      <c r="A95" s="18" t="s">
        <v>115</v>
      </c>
      <c r="B95" s="26" t="s">
        <v>116</v>
      </c>
      <c r="C95" s="41"/>
      <c r="D95" s="61">
        <f>IFERROR(VLOOKUP(B95,'[1]MENSUAL 01-2025'!A:J,10,0),0)</f>
        <v>0</v>
      </c>
      <c r="E95" s="61">
        <f>IFERROR(VLOOKUP('[1]EEFF GESTIÓN S.R'!B95,'[1]MENSUAL 02-2025'!A:J,10,0),0)</f>
        <v>-3900761</v>
      </c>
      <c r="F95" s="61">
        <f>IFERROR(VLOOKUP(B95,'[1]MENSUAL 03-2025'!A:J,10,0),0)</f>
        <v>-2927814</v>
      </c>
      <c r="G95" s="61">
        <f>IFERROR(VLOOKUP(B95,'[1]MENSUAL 04-2025'!A:J,10,0),0)</f>
        <v>-1169591</v>
      </c>
      <c r="H95" s="61">
        <f>IFERROR(VLOOKUP(B95,'[1]MENSUAL 05-2025'!A:J,10,0),0)</f>
        <v>-226372</v>
      </c>
      <c r="I95" s="62">
        <f>IFERROR(VLOOKUP(B95,'[1]MENSUAL 06-2025'!A:J,10,0),0)</f>
        <v>259390</v>
      </c>
      <c r="J95" s="75">
        <f>IFERROR(VLOOKUP(B95,'[1]MENSUAL 07-2025'!A:J,10,0),0)</f>
        <v>0</v>
      </c>
      <c r="K95" s="61">
        <f>IFERROR(VLOOKUP(B95,'[1]MENSUAL 08-2025 '!A:J,10,0),0)</f>
        <v>-58479</v>
      </c>
      <c r="L95" s="75">
        <f>IFERROR(VLOOKUP(B95,'[1]MENSUAL 09-2025'!A:J,10,0),0)</f>
        <v>0</v>
      </c>
      <c r="M95" s="75">
        <f>IFERROR(VLOOKUP(B95,'[1]MENSUAL 10-2025'!A:J,10,0),0)</f>
        <v>-350878</v>
      </c>
      <c r="N95" s="63">
        <f>IFERROR(VLOOKUP(B95,'[1]MENSUAL 11-2025'!A:J,10,0),0)</f>
        <v>-409356</v>
      </c>
      <c r="O95" s="64">
        <f>IFERROR(VLOOKUP(B95,'[1]MENSUAL 12-2025'!A:J,10,0),0)</f>
        <v>-1087719</v>
      </c>
      <c r="P95" s="65">
        <f t="shared" ref="P95:P100" si="16">SUM(D95:O95)</f>
        <v>-9871580</v>
      </c>
      <c r="Q95" s="5">
        <f t="shared" si="14"/>
        <v>-678363</v>
      </c>
      <c r="R95" s="6"/>
    </row>
    <row r="96" spans="1:21" x14ac:dyDescent="0.2">
      <c r="A96" s="18" t="s">
        <v>117</v>
      </c>
      <c r="B96" s="67" t="s">
        <v>118</v>
      </c>
      <c r="C96" s="41"/>
      <c r="D96" s="28">
        <f>IFERROR(VLOOKUP(B96,'[1]MENSUAL 01-2025'!A:J,10,0),0)</f>
        <v>-1528438</v>
      </c>
      <c r="E96" s="28">
        <f>IFERROR(VLOOKUP('[1]EEFF GESTIÓN S.R'!B96,'[1]MENSUAL 02-2025'!A:J,10,0),0)</f>
        <v>-1016698</v>
      </c>
      <c r="F96" s="28">
        <f>IFERROR(VLOOKUP(B96,'[1]MENSUAL 03-2025'!A:J,10,0),0)</f>
        <v>-4750176</v>
      </c>
      <c r="G96" s="28">
        <f>IFERROR(VLOOKUP(B96,'[1]MENSUAL 04-2025'!A:J,10,0),0)</f>
        <v>-5273762</v>
      </c>
      <c r="H96" s="28">
        <f>IFERROR(VLOOKUP(B96,'[1]MENSUAL 05-2025'!A:J,10,0),0)</f>
        <v>-1637659</v>
      </c>
      <c r="I96" s="27">
        <f>IFERROR(VLOOKUP(B96,'[1]MENSUAL 06-2025'!A:J,10,0),0)</f>
        <v>-1794620</v>
      </c>
      <c r="J96" s="76">
        <f>IFERROR(VLOOKUP(B96,'[1]MENSUAL 07-2025'!A:J,10,0),0)</f>
        <v>-560202</v>
      </c>
      <c r="K96" s="28">
        <f>IFERROR(VLOOKUP(B96,'[1]MENSUAL 08-2025 '!A:J,10,0),0)</f>
        <v>-8486158</v>
      </c>
      <c r="L96" s="76">
        <f>IFERROR(VLOOKUP(B96,'[1]MENSUAL 09-2025'!A:J,10,0),0)</f>
        <v>-5549003</v>
      </c>
      <c r="M96" s="75">
        <f>IFERROR(VLOOKUP(B96,'[1]MENSUAL 10-2025'!A:J,10,0),0)</f>
        <v>-4334836</v>
      </c>
      <c r="N96" s="63">
        <f>IFERROR(VLOOKUP(B96,'[1]MENSUAL 11-2025'!A:J,10,0),0)</f>
        <v>1454623</v>
      </c>
      <c r="O96" s="30">
        <f>IFERROR(VLOOKUP(B96,'[1]MENSUAL 12-2025'!A:J,10,0),0)</f>
        <v>-2755394</v>
      </c>
      <c r="P96" s="79">
        <f t="shared" si="16"/>
        <v>-36232323</v>
      </c>
      <c r="Q96" s="5">
        <f t="shared" si="14"/>
        <v>-4210017</v>
      </c>
      <c r="R96" s="6"/>
      <c r="U96" s="33"/>
    </row>
    <row r="97" spans="1:19" x14ac:dyDescent="0.2">
      <c r="A97" s="18" t="s">
        <v>119</v>
      </c>
      <c r="B97" s="67" t="s">
        <v>120</v>
      </c>
      <c r="C97" s="41"/>
      <c r="D97" s="28">
        <f>IFERROR(VLOOKUP(B97,'[1]MENSUAL 01-2025'!A:J,10,0),0)</f>
        <v>-34691572</v>
      </c>
      <c r="E97" s="28">
        <f>IFERROR(VLOOKUP('[1]EEFF GESTIÓN S.R'!B97,'[1]MENSUAL 02-2025'!A:J,10,0),0)</f>
        <v>-13282037</v>
      </c>
      <c r="F97" s="28">
        <f>IFERROR(VLOOKUP(B97,'[1]MENSUAL 03-2025'!A:J,10,0),0)</f>
        <v>-61151140</v>
      </c>
      <c r="G97" s="28">
        <f>IFERROR(VLOOKUP(B97,'[1]MENSUAL 04-2025'!A:J,10,0),0)</f>
        <v>-38837065</v>
      </c>
      <c r="H97" s="28">
        <f>IFERROR(VLOOKUP(B97,'[1]MENSUAL 05-2025'!A:J,10,0),0)</f>
        <v>-39802021</v>
      </c>
      <c r="I97" s="27">
        <f>IFERROR(VLOOKUP(B97,'[1]MENSUAL 06-2025'!A:J,10,0),0)</f>
        <v>-67015692</v>
      </c>
      <c r="J97" s="76">
        <f>IFERROR(VLOOKUP(B97,'[1]MENSUAL 07-2025'!A:J,10,0),0)</f>
        <v>-25914138</v>
      </c>
      <c r="K97" s="28">
        <f>IFERROR(VLOOKUP(B97,'[1]MENSUAL 08-2025 '!A:J,10,0),0)</f>
        <v>-25473327</v>
      </c>
      <c r="L97" s="76">
        <f>IFERROR(VLOOKUP(B97,'[1]MENSUAL 09-2025'!A:J,10,0),0)</f>
        <v>-29406784</v>
      </c>
      <c r="M97" s="75">
        <f>IFERROR(VLOOKUP(B97,'[1]MENSUAL 10-2025'!A:J,10,0),0)</f>
        <v>-22886343</v>
      </c>
      <c r="N97" s="63">
        <f>IFERROR(VLOOKUP(B97,'[1]MENSUAL 11-2025'!A:J,10,0),0)</f>
        <v>-50805944</v>
      </c>
      <c r="O97" s="30">
        <f>IFERROR(VLOOKUP(B97,'[1]MENSUAL 12-2025'!A:J,10,0),0)</f>
        <v>-31305170</v>
      </c>
      <c r="P97" s="79">
        <f t="shared" si="16"/>
        <v>-440571233</v>
      </c>
      <c r="Q97" s="5">
        <f t="shared" si="14"/>
        <v>19500774</v>
      </c>
      <c r="R97" s="6"/>
      <c r="S97" s="80"/>
    </row>
    <row r="98" spans="1:19" x14ac:dyDescent="0.2">
      <c r="A98" s="18"/>
      <c r="B98" s="67" t="s">
        <v>121</v>
      </c>
      <c r="C98" s="41"/>
      <c r="D98" s="28">
        <f>IFERROR(VLOOKUP(B98,'[1]MENSUAL 01-2025'!A:J,10,0),0)</f>
        <v>0</v>
      </c>
      <c r="E98" s="28">
        <f>IFERROR(VLOOKUP('[1]EEFF GESTIÓN S.R'!B98,'[1]MENSUAL 02-2025'!A:J,10,0),0)</f>
        <v>0</v>
      </c>
      <c r="F98" s="28">
        <f>IFERROR(VLOOKUP(B98,'[1]MENSUAL 03-2025'!A:J,10,0),0)</f>
        <v>0</v>
      </c>
      <c r="G98" s="28">
        <f>IFERROR(VLOOKUP(B98,'[1]MENSUAL 04-2025'!A:J,10,0),0)</f>
        <v>-869990</v>
      </c>
      <c r="H98" s="28">
        <f>IFERROR(VLOOKUP(B98,'[1]MENSUAL 05-2025'!A:J,10,0),0)</f>
        <v>0</v>
      </c>
      <c r="I98" s="27">
        <f>IFERROR(VLOOKUP(B98,'[1]MENSUAL 06-2025'!A:J,10,0),0)</f>
        <v>0</v>
      </c>
      <c r="J98" s="76">
        <f>IFERROR(VLOOKUP(B98,'[1]MENSUAL 07-2025'!A:J,10,0),0)</f>
        <v>-81301150</v>
      </c>
      <c r="K98" s="28">
        <f>IFERROR(VLOOKUP(B98,'[1]MENSUAL 08-2025 '!A:J,10,0),0)</f>
        <v>-11874225</v>
      </c>
      <c r="L98" s="76">
        <f>IFERROR(VLOOKUP(B98,'[1]MENSUAL 09-2025'!A:J,10,0),0)</f>
        <v>-13252683</v>
      </c>
      <c r="M98" s="75">
        <f>IFERROR(VLOOKUP(B98,'[1]MENSUAL 10-2025'!A:J,10,0),0)</f>
        <v>-4000</v>
      </c>
      <c r="N98" s="63">
        <f>IFERROR(VLOOKUP(B98,'[1]MENSUAL 11-2025'!A:J,10,0),0)</f>
        <v>-350000</v>
      </c>
      <c r="O98" s="30">
        <f>IFERROR(VLOOKUP(B98,'[1]MENSUAL 12-2025'!A:J,10,0),0)</f>
        <v>-390000</v>
      </c>
      <c r="P98" s="79">
        <f t="shared" si="16"/>
        <v>-108042048</v>
      </c>
      <c r="Q98" s="5">
        <f t="shared" si="14"/>
        <v>-40000</v>
      </c>
      <c r="R98" s="6"/>
      <c r="S98" s="80"/>
    </row>
    <row r="99" spans="1:19" x14ac:dyDescent="0.2">
      <c r="A99" s="18"/>
      <c r="B99" s="67" t="s">
        <v>122</v>
      </c>
      <c r="C99" s="41"/>
      <c r="D99" s="28">
        <f>IFERROR(VLOOKUP(B99,'[1]MENSUAL 01-2025'!A:J,10,0),0)</f>
        <v>-937000</v>
      </c>
      <c r="E99" s="28">
        <f>IFERROR(VLOOKUP('[1]EEFF GESTIÓN S.R'!B99,'[1]MENSUAL 02-2025'!A:J,10,0),0)</f>
        <v>-136000</v>
      </c>
      <c r="F99" s="28">
        <f>IFERROR(VLOOKUP(B99,'[1]MENSUAL 03-2025'!A:J,10,0),0)</f>
        <v>-3076500</v>
      </c>
      <c r="G99" s="28">
        <f>IFERROR(VLOOKUP(B99,'[1]MENSUAL 04-2025'!A:J,10,0),0)</f>
        <v>693000</v>
      </c>
      <c r="H99" s="28">
        <f>IFERROR(VLOOKUP(B99,'[1]MENSUAL 05-2025'!A:J,10,0),0)</f>
        <v>-2317200</v>
      </c>
      <c r="I99" s="27">
        <f>IFERROR(VLOOKUP(B99,'[1]MENSUAL 06-2025'!A:J,10,0),0)</f>
        <v>-1003500</v>
      </c>
      <c r="J99" s="76">
        <f>IFERROR(VLOOKUP(B99,'[1]MENSUAL 07-2025'!A:J,10,0),0)</f>
        <v>-18800</v>
      </c>
      <c r="K99" s="28">
        <f>IFERROR(VLOOKUP(B99,'[1]MENSUAL 08-2025 '!A:J,10,0),0)</f>
        <v>740300</v>
      </c>
      <c r="L99" s="76">
        <f>IFERROR(VLOOKUP(B99,'[1]MENSUAL 09-2025'!A:J,10,0),0)</f>
        <v>-401000</v>
      </c>
      <c r="M99" s="75">
        <f>IFERROR(VLOOKUP(B99,'[1]MENSUAL 10-2025'!A:J,10,0),0)</f>
        <v>-58000</v>
      </c>
      <c r="N99" s="63">
        <f>IFERROR(VLOOKUP(B99,'[1]MENSUAL 11-2025'!A:J,10,0),0)</f>
        <v>-99500</v>
      </c>
      <c r="O99" s="30">
        <f>IFERROR(VLOOKUP(B99,'[1]MENSUAL 12-2025'!A:J,10,0),0)</f>
        <v>-171000</v>
      </c>
      <c r="P99" s="79">
        <f t="shared" si="16"/>
        <v>-6785200</v>
      </c>
      <c r="Q99" s="5">
        <f t="shared" si="14"/>
        <v>-71500</v>
      </c>
      <c r="R99" s="6"/>
      <c r="S99" s="80"/>
    </row>
    <row r="100" spans="1:19" ht="12.75" thickBot="1" x14ac:dyDescent="0.25">
      <c r="A100" s="18"/>
      <c r="B100" s="67" t="s">
        <v>123</v>
      </c>
      <c r="C100" s="41"/>
      <c r="D100" s="28">
        <f>IFERROR(VLOOKUP(B100,'[1]MENSUAL 01-2025'!A:J,10,0),0)</f>
        <v>1751046</v>
      </c>
      <c r="E100" s="28">
        <f>IFERROR(VLOOKUP('[1]EEFF GESTIÓN S.R'!B100,'[1]MENSUAL 02-2025'!A:J,10,0),0)</f>
        <v>-836647</v>
      </c>
      <c r="F100" s="28">
        <f>IFERROR(VLOOKUP(B100,'[1]MENSUAL 03-2025'!A:J,10,0),0)</f>
        <v>-822746</v>
      </c>
      <c r="G100" s="28">
        <f>IFERROR(VLOOKUP(B100,'[1]MENSUAL 04-2025'!A:J,10,0),0)</f>
        <v>-12288573</v>
      </c>
      <c r="H100" s="28">
        <f>IFERROR(VLOOKUP(B100,'[1]MENSUAL 05-2025'!A:J,10,0),0)</f>
        <v>-1880978</v>
      </c>
      <c r="I100" s="27">
        <f>IFERROR(VLOOKUP(B100,'[1]MENSUAL 06-2025'!A:J,10,0),0)</f>
        <v>-8609689</v>
      </c>
      <c r="J100" s="77">
        <f>IFERROR(VLOOKUP(B100,'[1]MENSUAL 07-2025'!A:J,10,0),0)</f>
        <v>-1743622</v>
      </c>
      <c r="K100" s="69">
        <f>IFERROR(VLOOKUP(B100,'[1]MENSUAL 08-2025 '!A:J,10,0),0)</f>
        <v>-3663134</v>
      </c>
      <c r="L100" s="76">
        <f>IFERROR(VLOOKUP(B100,'[1]MENSUAL 09-2025'!A:J,10,0),0)</f>
        <v>-3045813</v>
      </c>
      <c r="M100" s="75">
        <f>IFERROR(VLOOKUP(B100,'[1]MENSUAL 10-2025'!A:J,10,0),0)</f>
        <v>-2477387</v>
      </c>
      <c r="N100" s="63">
        <f>IFERROR(VLOOKUP(B100,'[1]MENSUAL 11-2025'!A:J,10,0),0)</f>
        <v>-2415229</v>
      </c>
      <c r="O100" s="30">
        <f>IFERROR(VLOOKUP(B100,'[1]MENSUAL 12-2025'!A:J,10,0),0)</f>
        <v>-5540896</v>
      </c>
      <c r="P100" s="79">
        <f t="shared" si="16"/>
        <v>-41573668</v>
      </c>
      <c r="Q100" s="5">
        <f t="shared" si="14"/>
        <v>-3125667</v>
      </c>
      <c r="R100" s="6"/>
      <c r="S100" s="80"/>
    </row>
    <row r="101" spans="1:19" ht="12.75" thickBot="1" x14ac:dyDescent="0.25">
      <c r="A101" s="18" t="s">
        <v>124</v>
      </c>
      <c r="B101" s="56" t="s">
        <v>125</v>
      </c>
      <c r="C101" s="41"/>
      <c r="D101" s="57">
        <f>SUM(D102)</f>
        <v>-2330194</v>
      </c>
      <c r="E101" s="57">
        <f t="shared" ref="E101:P101" si="17">SUM(E102)</f>
        <v>0</v>
      </c>
      <c r="F101" s="57">
        <f t="shared" si="17"/>
        <v>0</v>
      </c>
      <c r="G101" s="57">
        <f t="shared" si="17"/>
        <v>-359692667</v>
      </c>
      <c r="H101" s="57">
        <f t="shared" si="17"/>
        <v>-3629485</v>
      </c>
      <c r="I101" s="58">
        <f t="shared" si="17"/>
        <v>-362154131</v>
      </c>
      <c r="J101" s="59">
        <f t="shared" si="17"/>
        <v>-3629485</v>
      </c>
      <c r="K101" s="57">
        <f t="shared" si="17"/>
        <v>-40135464</v>
      </c>
      <c r="L101" s="57">
        <f t="shared" si="17"/>
        <v>-430558319</v>
      </c>
      <c r="M101" s="57">
        <f t="shared" si="17"/>
        <v>-7980617</v>
      </c>
      <c r="N101" s="57">
        <f t="shared" si="17"/>
        <v>-510503969</v>
      </c>
      <c r="O101" s="57">
        <f t="shared" si="17"/>
        <v>-125180771</v>
      </c>
      <c r="P101" s="60">
        <f t="shared" si="17"/>
        <v>-1845795102</v>
      </c>
      <c r="Q101" s="5">
        <f t="shared" si="14"/>
        <v>385323198</v>
      </c>
      <c r="R101" s="6"/>
    </row>
    <row r="102" spans="1:19" ht="12.75" thickBot="1" x14ac:dyDescent="0.25">
      <c r="A102" s="18" t="s">
        <v>126</v>
      </c>
      <c r="B102" s="26" t="s">
        <v>127</v>
      </c>
      <c r="C102" s="41"/>
      <c r="D102" s="61">
        <f>IFERROR(VLOOKUP(B102,'[1]MENSUAL 01-2025'!A:J,10,0),0)</f>
        <v>-2330194</v>
      </c>
      <c r="E102" s="61">
        <f>IFERROR(VLOOKUP('[1]EEFF GESTIÓN S.R'!B102,'[1]MENSUAL 02-2025'!A:J,10,0),0)</f>
        <v>0</v>
      </c>
      <c r="F102" s="61">
        <f>IFERROR(VLOOKUP(B102,'[1]MENSUAL 03-2025'!A:J,10,0),0)</f>
        <v>0</v>
      </c>
      <c r="G102" s="61">
        <f>IFERROR(VLOOKUP(B102,'[1]MENSUAL 04-2025'!A:J,10,0),0)</f>
        <v>-359692667</v>
      </c>
      <c r="H102" s="61">
        <f>IFERROR(VLOOKUP(B102,'[1]MENSUAL 05-2025'!A:J,10,0),0)</f>
        <v>-3629485</v>
      </c>
      <c r="I102" s="62">
        <f>IFERROR(VLOOKUP(B102,'[1]MENSUAL 06-2025'!A:J,10,0),0)</f>
        <v>-362154131</v>
      </c>
      <c r="J102" s="81">
        <f>IFERROR(VLOOKUP(B102,'[1]MENSUAL 07-2025'!A:J,10,0),0)</f>
        <v>-3629485</v>
      </c>
      <c r="K102" s="82">
        <f>IFERROR(VLOOKUP(B102,'[1]MENSUAL 08-2025 '!A:J,10,0),0)</f>
        <v>-40135464</v>
      </c>
      <c r="L102" s="81">
        <f>IFERROR(VLOOKUP(B102,'[1]MENSUAL 09-2025'!A:J,10,0),0)</f>
        <v>-430558319</v>
      </c>
      <c r="M102" s="81">
        <f>IFERROR(VLOOKUP(B102,'[1]MENSUAL 10-2025'!A:J,10,0),0)</f>
        <v>-7980617</v>
      </c>
      <c r="N102" s="83">
        <f>IFERROR(VLOOKUP(B102,'[1]MENSUAL 11-2025'!A:J,10,0),0)</f>
        <v>-510503969</v>
      </c>
      <c r="O102" s="64">
        <f>IFERROR(VLOOKUP(B102,'[1]MENSUAL 12-2025'!A:J,10,0),0)</f>
        <v>-125180771</v>
      </c>
      <c r="P102" s="65">
        <f>SUM(D102:O102)</f>
        <v>-1845795102</v>
      </c>
      <c r="Q102" s="5">
        <f t="shared" si="14"/>
        <v>385323198</v>
      </c>
      <c r="R102" s="6"/>
    </row>
    <row r="103" spans="1:19" ht="12.75" thickBot="1" x14ac:dyDescent="0.25">
      <c r="A103" s="18" t="s">
        <v>128</v>
      </c>
      <c r="B103" s="56" t="s">
        <v>129</v>
      </c>
      <c r="C103" s="41"/>
      <c r="D103" s="57">
        <f>SUM(D104:D105)</f>
        <v>-115007677</v>
      </c>
      <c r="E103" s="57">
        <f t="shared" ref="E103:P103" si="18">SUM(E104:E105)</f>
        <v>0</v>
      </c>
      <c r="F103" s="57">
        <f t="shared" si="18"/>
        <v>0</v>
      </c>
      <c r="G103" s="57">
        <f t="shared" si="18"/>
        <v>0</v>
      </c>
      <c r="H103" s="57">
        <f t="shared" si="18"/>
        <v>0</v>
      </c>
      <c r="I103" s="58">
        <f t="shared" si="18"/>
        <v>0</v>
      </c>
      <c r="J103" s="59">
        <f t="shared" si="18"/>
        <v>-27520</v>
      </c>
      <c r="K103" s="57">
        <f t="shared" si="18"/>
        <v>-103049529</v>
      </c>
      <c r="L103" s="57">
        <f t="shared" si="18"/>
        <v>0</v>
      </c>
      <c r="M103" s="57">
        <f t="shared" si="18"/>
        <v>0</v>
      </c>
      <c r="N103" s="57">
        <f t="shared" si="18"/>
        <v>0</v>
      </c>
      <c r="O103" s="57">
        <f t="shared" si="18"/>
        <v>0</v>
      </c>
      <c r="P103" s="60">
        <f t="shared" si="18"/>
        <v>-218084726</v>
      </c>
      <c r="Q103" s="5">
        <f t="shared" si="14"/>
        <v>0</v>
      </c>
      <c r="R103" s="6"/>
    </row>
    <row r="104" spans="1:19" x14ac:dyDescent="0.2">
      <c r="A104" s="18"/>
      <c r="B104" s="26" t="s">
        <v>130</v>
      </c>
      <c r="C104" s="41"/>
      <c r="D104" s="61">
        <f>IFERROR(VLOOKUP(B104,'[1]MENSUAL 01-2025'!A:J,10,0),0)</f>
        <v>-115007677</v>
      </c>
      <c r="E104" s="61">
        <f>IFERROR(VLOOKUP('[1]EEFF GESTIÓN S.R'!B104,'[1]MENSUAL 02-2025'!A:J,10,0),0)</f>
        <v>0</v>
      </c>
      <c r="F104" s="61">
        <f>IFERROR(VLOOKUP(B104,'[1]MENSUAL 03-2025'!A:J,10,0),0)</f>
        <v>0</v>
      </c>
      <c r="G104" s="61">
        <f>IFERROR(VLOOKUP(B104,'[1]MENSUAL 04-2025'!A:J,10,0),0)</f>
        <v>0</v>
      </c>
      <c r="H104" s="61">
        <f>IFERROR(VLOOKUP(B104,'[1]MENSUAL 05-2025'!A:J,10,0),0)</f>
        <v>0</v>
      </c>
      <c r="I104" s="62">
        <f>IFERROR(VLOOKUP(B104,'[1]MENSUAL 06-2025'!A:J,10,0),0)</f>
        <v>0</v>
      </c>
      <c r="J104" s="75">
        <f>IFERROR(VLOOKUP(B104,'[1]MENSUAL 07-2025'!A:J,10,0),0)</f>
        <v>-27520</v>
      </c>
      <c r="K104" s="65">
        <f>IFERROR(VLOOKUP(B104,'[1]MENSUAL 08-2025 '!A:J,10,0),0)</f>
        <v>-103049529</v>
      </c>
      <c r="L104" s="75">
        <f>IFERROR(VLOOKUP(B104,'[1]MENSUAL 09-2025'!A:J,10,0),0)</f>
        <v>0</v>
      </c>
      <c r="M104" s="75">
        <f>IFERROR(VLOOKUP(B104,'[1]MENSUAL 10-2025'!A:J,10,0),0)</f>
        <v>0</v>
      </c>
      <c r="N104" s="75">
        <f>IFERROR(VLOOKUP(B104,'[1]MENSUAL 11-2025'!A:J,10,0),0)</f>
        <v>0</v>
      </c>
      <c r="O104" s="64">
        <f>IFERROR(VLOOKUP(B104,'[1]MENSUAL 12-2025'!A:J,10,0),0)</f>
        <v>0</v>
      </c>
      <c r="P104" s="65">
        <f>SUM(D104:O104)</f>
        <v>-218084726</v>
      </c>
      <c r="Q104" s="5">
        <f t="shared" si="14"/>
        <v>0</v>
      </c>
      <c r="R104" s="6"/>
    </row>
    <row r="105" spans="1:19" ht="12.75" thickBot="1" x14ac:dyDescent="0.25">
      <c r="A105" s="18"/>
      <c r="B105" s="26" t="s">
        <v>131</v>
      </c>
      <c r="C105" s="41"/>
      <c r="D105" s="28">
        <f>IFERROR(VLOOKUP(B105,'[1]MENSUAL 01-2025'!A:J,10,0),0)</f>
        <v>0</v>
      </c>
      <c r="E105" s="28">
        <f>IFERROR(VLOOKUP('[1]EEFF GESTIÓN S.R'!B105,'[1]MENSUAL 02-2025'!A:J,10,0),0)</f>
        <v>0</v>
      </c>
      <c r="F105" s="28">
        <f>IFERROR(VLOOKUP(B105,'[1]MENSUAL 03-2025'!A:J,10,0),0)</f>
        <v>0</v>
      </c>
      <c r="G105" s="28">
        <f>IFERROR(VLOOKUP(B105,'[1]MENSUAL 04-2025'!A:J,10,0),0)</f>
        <v>0</v>
      </c>
      <c r="H105" s="28">
        <f>IFERROR(VLOOKUP(B105,'[1]MENSUAL 05-2025'!A:J,10,0),0)</f>
        <v>0</v>
      </c>
      <c r="I105" s="27">
        <f>IFERROR(VLOOKUP(B105,'[1]MENSUAL 06-2025'!A:J,10,0),0)</f>
        <v>0</v>
      </c>
      <c r="J105" s="77">
        <f>IFERROR(VLOOKUP(B105,'[1]MENSUAL 07-2025'!A:J,10,0),0)</f>
        <v>0</v>
      </c>
      <c r="K105" s="84">
        <f>IFERROR(VLOOKUP(B105,'[1]MENSUAL 08-2025 '!A:J,10,0),0)</f>
        <v>0</v>
      </c>
      <c r="L105" s="77">
        <f>IFERROR(VLOOKUP(B105,'[1]MENSUAL 09-2025'!A:J,10,0),0)</f>
        <v>0</v>
      </c>
      <c r="M105" s="75">
        <f>IFERROR(VLOOKUP(B105,'[1]MENSUAL 10-2025'!A:J,10,0),0)</f>
        <v>0</v>
      </c>
      <c r="N105" s="75">
        <f>IFERROR(VLOOKUP(B105,'[1]MENSUAL 11-2025'!A:J,10,0),0)</f>
        <v>0</v>
      </c>
      <c r="O105" s="30">
        <f>IFERROR(VLOOKUP(B105,'[1]MENSUAL 12-2025'!A:J,10,0),0)</f>
        <v>0</v>
      </c>
      <c r="P105" s="49">
        <f>SUM(D105:O105)</f>
        <v>0</v>
      </c>
      <c r="Q105" s="5">
        <f t="shared" si="14"/>
        <v>0</v>
      </c>
      <c r="R105" s="6"/>
    </row>
    <row r="106" spans="1:19" ht="12.75" thickBot="1" x14ac:dyDescent="0.25">
      <c r="A106" s="18" t="s">
        <v>132</v>
      </c>
      <c r="B106" s="56" t="s">
        <v>132</v>
      </c>
      <c r="C106" s="41"/>
      <c r="D106" s="57">
        <f>SUM(D107:D110)</f>
        <v>-8187133</v>
      </c>
      <c r="E106" s="57">
        <f t="shared" ref="E106:P106" si="19">SUM(E107:E110)</f>
        <v>-4553876</v>
      </c>
      <c r="F106" s="57">
        <f t="shared" si="19"/>
        <v>-113675526</v>
      </c>
      <c r="G106" s="57">
        <f t="shared" si="19"/>
        <v>-18457207</v>
      </c>
      <c r="H106" s="57">
        <f t="shared" si="19"/>
        <v>-10512624</v>
      </c>
      <c r="I106" s="58">
        <f t="shared" si="19"/>
        <v>-10181382</v>
      </c>
      <c r="J106" s="59">
        <f t="shared" si="19"/>
        <v>-16991821</v>
      </c>
      <c r="K106" s="57">
        <f t="shared" si="19"/>
        <v>-10641575</v>
      </c>
      <c r="L106" s="57">
        <f t="shared" si="19"/>
        <v>-8272314</v>
      </c>
      <c r="M106" s="57">
        <f t="shared" si="19"/>
        <v>-18744409</v>
      </c>
      <c r="N106" s="57">
        <f t="shared" si="19"/>
        <v>-10897850</v>
      </c>
      <c r="O106" s="57">
        <f t="shared" si="19"/>
        <v>-14184754</v>
      </c>
      <c r="P106" s="60">
        <f t="shared" si="19"/>
        <v>-245300471</v>
      </c>
      <c r="Q106" s="5">
        <f t="shared" si="14"/>
        <v>-3286904</v>
      </c>
      <c r="R106" s="6"/>
    </row>
    <row r="107" spans="1:19" x14ac:dyDescent="0.2">
      <c r="A107" s="18"/>
      <c r="B107" s="67" t="s">
        <v>133</v>
      </c>
      <c r="C107" s="41"/>
      <c r="D107" s="61">
        <f>IFERROR(VLOOKUP(B107,'[1]MENSUAL 01-2025'!A:J,10,0),0)</f>
        <v>-7253518</v>
      </c>
      <c r="E107" s="61">
        <f>IFERROR(VLOOKUP('[1]EEFF GESTIÓN S.R'!B107,'[1]MENSUAL 02-2025'!A:J,10,0),0)</f>
        <v>-3621648</v>
      </c>
      <c r="F107" s="61">
        <f>IFERROR(VLOOKUP(B107,'[1]MENSUAL 03-2025'!A:J,10,0),0)</f>
        <v>-11817935</v>
      </c>
      <c r="G107" s="61">
        <f>IFERROR(VLOOKUP(B107,'[1]MENSUAL 04-2025'!A:J,10,0),0)</f>
        <v>-16436095</v>
      </c>
      <c r="H107" s="61">
        <f>IFERROR(VLOOKUP(B107,'[1]MENSUAL 05-2025'!A:J,10,0),0)</f>
        <v>-9562518</v>
      </c>
      <c r="I107" s="62">
        <f>IFERROR(VLOOKUP(B107,'[1]MENSUAL 06-2025'!A:J,10,0),0)</f>
        <v>-9228988</v>
      </c>
      <c r="J107" s="75">
        <f>IFERROR(VLOOKUP(B107,'[1]MENSUAL 07-2025'!A:J,10,0),0)</f>
        <v>-16037530</v>
      </c>
      <c r="K107" s="61">
        <f>IFERROR(VLOOKUP(B107,'[1]MENSUAL 08-2025 '!A:J,10,0),0)</f>
        <v>-9690356</v>
      </c>
      <c r="L107" s="75">
        <f>IFERROR(VLOOKUP(B107,'[1]MENSUAL 09-2025'!A:J,10,0),0)</f>
        <v>-7301139</v>
      </c>
      <c r="M107" s="75">
        <f>IFERROR(VLOOKUP(B107,'[1]MENSUAL 10-2025'!A:J,10,0),0)</f>
        <v>-17665140</v>
      </c>
      <c r="N107" s="63">
        <f>IFERROR(VLOOKUP(B107,'[1]MENSUAL 11-2025'!A:J,10,0),0)</f>
        <v>-9935225</v>
      </c>
      <c r="O107" s="64">
        <f>IFERROR(VLOOKUP(B107,'[1]MENSUAL 12-2025'!A:J,10,0),0)</f>
        <v>-11721634</v>
      </c>
      <c r="P107" s="65">
        <f>SUM(D107:O107)</f>
        <v>-130271726</v>
      </c>
      <c r="Q107" s="5">
        <f t="shared" si="14"/>
        <v>-1786409</v>
      </c>
      <c r="R107" s="6"/>
    </row>
    <row r="108" spans="1:19" x14ac:dyDescent="0.2">
      <c r="A108" s="18"/>
      <c r="B108" s="67" t="s">
        <v>134</v>
      </c>
      <c r="C108" s="41"/>
      <c r="D108" s="28">
        <f>IFERROR(VLOOKUP(B108,'[1]MENSUAL 01-2025'!A:J,10,0),0)</f>
        <v>0</v>
      </c>
      <c r="E108" s="28">
        <f>IFERROR(VLOOKUP('[1]EEFF GESTIÓN S.R'!B108,'[1]MENSUAL 02-2025'!A:J,10,0),0)</f>
        <v>0</v>
      </c>
      <c r="F108" s="28">
        <f>IFERROR(VLOOKUP(B108,'[1]MENSUAL 03-2025'!A:J,10,0),0)</f>
        <v>-100916823</v>
      </c>
      <c r="G108" s="28">
        <f>IFERROR(VLOOKUP(B108,'[1]MENSUAL 04-2025'!A:J,10,0),0)</f>
        <v>-1075591</v>
      </c>
      <c r="H108" s="28">
        <f>IFERROR(VLOOKUP(B108,'[1]MENSUAL 05-2025'!A:J,10,0),0)</f>
        <v>0</v>
      </c>
      <c r="I108" s="27">
        <f>IFERROR(VLOOKUP(B108,'[1]MENSUAL 06-2025'!A:J,10,0),0)</f>
        <v>0</v>
      </c>
      <c r="J108" s="76">
        <f>IFERROR(VLOOKUP(B108,'[1]MENSUAL 07-2025'!A:J,10,0),0)</f>
        <v>0</v>
      </c>
      <c r="K108" s="28">
        <f>IFERROR(VLOOKUP(B108,'[1]MENSUAL 08-2025 '!A:J,10,0),0)</f>
        <v>0</v>
      </c>
      <c r="L108" s="76">
        <f>IFERROR(VLOOKUP(B108,'[1]MENSUAL 09-2025'!A:J,10,0),0)</f>
        <v>0</v>
      </c>
      <c r="M108" s="75">
        <f>IFERROR(VLOOKUP(B108,'[1]MENSUAL 10-2025'!A:J,10,0),0)</f>
        <v>0</v>
      </c>
      <c r="N108" s="75">
        <f>IFERROR(VLOOKUP(B108,'[1]MENSUAL 11-2025'!A:J,10,0),0)</f>
        <v>0</v>
      </c>
      <c r="O108" s="30">
        <f>IFERROR(VLOOKUP(B108,'[1]MENSUAL 12-2025'!A:J,10,0),0)</f>
        <v>-1500000</v>
      </c>
      <c r="P108" s="49">
        <f>SUM(D108:O108)</f>
        <v>-103492414</v>
      </c>
      <c r="Q108" s="5">
        <f t="shared" si="14"/>
        <v>-1500000</v>
      </c>
      <c r="R108" s="6"/>
    </row>
    <row r="109" spans="1:19" x14ac:dyDescent="0.2">
      <c r="A109" s="18" t="s">
        <v>135</v>
      </c>
      <c r="B109" s="26" t="s">
        <v>136</v>
      </c>
      <c r="C109" s="41"/>
      <c r="D109" s="28">
        <f>IFERROR(VLOOKUP(B109,'[1]MENSUAL 01-2025'!A:J,10,0),0)</f>
        <v>0</v>
      </c>
      <c r="E109" s="28">
        <f>IFERROR(VLOOKUP('[1]EEFF GESTIÓN S.R'!B109,'[1]MENSUAL 02-2025'!A:J,10,0),0)</f>
        <v>0</v>
      </c>
      <c r="F109" s="28">
        <f>IFERROR(VLOOKUP(B109,'[1]MENSUAL 03-2025'!A:J,10,0),0)</f>
        <v>0</v>
      </c>
      <c r="G109" s="28">
        <f>IFERROR(VLOOKUP(B109,'[1]MENSUAL 04-2025'!A:J,10,0),0)</f>
        <v>0</v>
      </c>
      <c r="H109" s="28">
        <f>IFERROR(VLOOKUP(B109,'[1]MENSUAL 05-2025'!A:J,10,0),0)</f>
        <v>0</v>
      </c>
      <c r="I109" s="27">
        <f>IFERROR(VLOOKUP(B109,'[1]MENSUAL 06-2025'!A:J,10,0),0)</f>
        <v>0</v>
      </c>
      <c r="J109" s="76">
        <f>IFERROR(VLOOKUP(B109,'[1]MENSUAL 07-2025'!A:J,10,0),0)</f>
        <v>0</v>
      </c>
      <c r="K109" s="28">
        <f>IFERROR(VLOOKUP(B109,'[1]MENSUAL 08-2025 '!A:J,10,0),0)</f>
        <v>0</v>
      </c>
      <c r="L109" s="76">
        <f>IFERROR(VLOOKUP(B109,'[1]MENSUAL 09-2025'!A:J,10,0),0)</f>
        <v>-13000</v>
      </c>
      <c r="M109" s="75">
        <f>IFERROR(VLOOKUP(B109,'[1]MENSUAL 10-2025'!A:J,10,0),0)</f>
        <v>-119986</v>
      </c>
      <c r="N109" s="63">
        <f>IFERROR(VLOOKUP(B109,'[1]MENSUAL 11-2025'!A:J,10,0),0)</f>
        <v>-962625</v>
      </c>
      <c r="O109" s="30">
        <f>IFERROR(VLOOKUP(B109,'[1]MENSUAL 12-2025'!A:J,10,0),0)</f>
        <v>0</v>
      </c>
      <c r="P109" s="49">
        <f>SUM(D109:O109)</f>
        <v>-1095611</v>
      </c>
      <c r="Q109" s="5">
        <f t="shared" si="14"/>
        <v>962625</v>
      </c>
      <c r="R109" s="6"/>
    </row>
    <row r="110" spans="1:19" ht="12.75" thickBot="1" x14ac:dyDescent="0.25">
      <c r="A110" s="18"/>
      <c r="B110" s="26" t="s">
        <v>137</v>
      </c>
      <c r="C110" s="41"/>
      <c r="D110" s="28">
        <f>IFERROR(VLOOKUP(B110,'[1]MENSUAL 01-2025'!A:J,10,0),0)</f>
        <v>-933615</v>
      </c>
      <c r="E110" s="28">
        <f>IFERROR(VLOOKUP('[1]EEFF GESTIÓN S.R'!B110,'[1]MENSUAL 02-2025'!A:J,10,0),0)</f>
        <v>-932228</v>
      </c>
      <c r="F110" s="28">
        <f>IFERROR(VLOOKUP(B110,'[1]MENSUAL 03-2025'!A:J,10,0),0)</f>
        <v>-940768</v>
      </c>
      <c r="G110" s="28">
        <f>IFERROR(VLOOKUP(B110,'[1]MENSUAL 04-2025'!A:J,10,0),0)</f>
        <v>-945521</v>
      </c>
      <c r="H110" s="28">
        <f>IFERROR(VLOOKUP(B110,'[1]MENSUAL 05-2025'!A:J,10,0),0)</f>
        <v>-950106</v>
      </c>
      <c r="I110" s="27">
        <f>IFERROR(VLOOKUP(B110,'[1]MENSUAL 06-2025'!A:J,10,0),0)</f>
        <v>-952394</v>
      </c>
      <c r="J110" s="77">
        <f>IFERROR(VLOOKUP(B110,'[1]MENSUAL 07-2025'!A:J,10,0),0)</f>
        <v>-954291</v>
      </c>
      <c r="K110" s="69">
        <f>IFERROR(VLOOKUP(B110,'[1]MENSUAL 08-2025 '!A:J,10,0),0)</f>
        <v>-951219</v>
      </c>
      <c r="L110" s="76">
        <f>IFERROR(VLOOKUP(B110,'[1]MENSUAL 09-2025'!A:J,10,0),0)</f>
        <v>-958175</v>
      </c>
      <c r="M110" s="75">
        <f>IFERROR(VLOOKUP(B110,'[1]MENSUAL 10-2025'!A:J,10,0),0)</f>
        <v>-959283</v>
      </c>
      <c r="N110" s="75">
        <f>IFERROR(VLOOKUP(B110,'[1]MENSUAL 11-2025'!A:J,10,0),0)</f>
        <v>0</v>
      </c>
      <c r="O110" s="30">
        <f>IFERROR(VLOOKUP(B110,'[1]MENSUAL 12-2025'!A:J,10,0),0)</f>
        <v>-963120</v>
      </c>
      <c r="P110" s="49">
        <f>SUM(D110:O110)</f>
        <v>-10440720</v>
      </c>
      <c r="Q110" s="5">
        <f t="shared" si="14"/>
        <v>-963120</v>
      </c>
      <c r="R110" s="6"/>
    </row>
    <row r="111" spans="1:19" ht="12.75" thickBot="1" x14ac:dyDescent="0.25">
      <c r="A111" s="18" t="s">
        <v>138</v>
      </c>
      <c r="B111" s="56" t="s">
        <v>138</v>
      </c>
      <c r="C111" s="41"/>
      <c r="D111" s="57">
        <f>SUM(D112)</f>
        <v>-10224922</v>
      </c>
      <c r="E111" s="57">
        <f t="shared" ref="E111:P111" si="20">SUM(E112)</f>
        <v>-4679624</v>
      </c>
      <c r="F111" s="57">
        <f t="shared" si="20"/>
        <v>-4679475</v>
      </c>
      <c r="G111" s="57">
        <f t="shared" si="20"/>
        <v>-5943433</v>
      </c>
      <c r="H111" s="57">
        <f t="shared" si="20"/>
        <v>0</v>
      </c>
      <c r="I111" s="58">
        <f t="shared" si="20"/>
        <v>-3576993</v>
      </c>
      <c r="J111" s="58">
        <f t="shared" si="20"/>
        <v>0</v>
      </c>
      <c r="K111" s="57">
        <f>SUM(K112)</f>
        <v>0</v>
      </c>
      <c r="L111" s="57">
        <f>SUM(L112)</f>
        <v>1264094</v>
      </c>
      <c r="M111" s="57">
        <f t="shared" ref="M111:O111" si="21">SUM(M112)</f>
        <v>0</v>
      </c>
      <c r="N111" s="57">
        <f t="shared" si="21"/>
        <v>-256430699</v>
      </c>
      <c r="O111" s="57">
        <f t="shared" si="21"/>
        <v>-24323408</v>
      </c>
      <c r="P111" s="60">
        <f t="shared" si="20"/>
        <v>-308594460</v>
      </c>
      <c r="Q111" s="5">
        <f t="shared" si="14"/>
        <v>232107291</v>
      </c>
      <c r="R111" s="6"/>
    </row>
    <row r="112" spans="1:19" ht="12.75" thickBot="1" x14ac:dyDescent="0.25">
      <c r="A112" s="18" t="s">
        <v>139</v>
      </c>
      <c r="B112" s="67" t="s">
        <v>140</v>
      </c>
      <c r="C112" s="41"/>
      <c r="D112" s="61">
        <f>IFERROR(VLOOKUP(B112,'[1]MENSUAL 01-2025'!A:J,10,0),0)</f>
        <v>-10224922</v>
      </c>
      <c r="E112" s="61">
        <f>IFERROR(VLOOKUP('[1]EEFF GESTIÓN S.R'!B112,'[1]MENSUAL 02-2025'!A:J,10,0),0)</f>
        <v>-4679624</v>
      </c>
      <c r="F112" s="61">
        <f>IFERROR(VLOOKUP(B112,'[1]MENSUAL 03-2025'!A:J,10,0),0)</f>
        <v>-4679475</v>
      </c>
      <c r="G112" s="61">
        <f>IFERROR(VLOOKUP(B112,'[1]MENSUAL 04-2025'!A:J,10,0),0)</f>
        <v>-5943433</v>
      </c>
      <c r="H112" s="61">
        <f>IFERROR(VLOOKUP(B112,'[1]MENSUAL 05-2025'!A:J,10,0),0)</f>
        <v>0</v>
      </c>
      <c r="I112" s="62">
        <f>IFERROR(VLOOKUP(B112,'[1]MENSUAL 06-2025'!A:J,10,0),0)</f>
        <v>-3576993</v>
      </c>
      <c r="J112" s="81">
        <f>IFERROR(VLOOKUP(B112,'[1]MENSUAL 07-2025'!A:J,10,0),0)</f>
        <v>0</v>
      </c>
      <c r="K112" s="82">
        <f>IFERROR(VLOOKUP(B112,'[1]MENSUAL 08-2025 '!A:J,10,0),0)</f>
        <v>0</v>
      </c>
      <c r="L112" s="81">
        <f>IFERROR(VLOOKUP(B112,'[1]MENSUAL 09-2025'!A:J,10,0),0)</f>
        <v>1264094</v>
      </c>
      <c r="M112" s="81">
        <f>IFERROR(VLOOKUP(B112,'[1]MENSUAL 10-2025'!A:J,10,0),0)</f>
        <v>0</v>
      </c>
      <c r="N112" s="83">
        <f>IFERROR(VLOOKUP(B112,'[1]MENSUAL 11-2025'!A:J,10,0),0)</f>
        <v>-256430699</v>
      </c>
      <c r="O112" s="64">
        <f>IFERROR(VLOOKUP(B112,'[1]MENSUAL 12-2025'!A:J,10,0),0)</f>
        <v>-24323408</v>
      </c>
      <c r="P112" s="65">
        <f>SUM(D112:O112)</f>
        <v>-308594460</v>
      </c>
      <c r="Q112" s="5">
        <f t="shared" si="14"/>
        <v>232107291</v>
      </c>
      <c r="R112" s="6"/>
    </row>
    <row r="113" spans="1:18" ht="12.75" thickBot="1" x14ac:dyDescent="0.25">
      <c r="A113" s="18" t="s">
        <v>141</v>
      </c>
      <c r="B113" s="56" t="s">
        <v>142</v>
      </c>
      <c r="C113" s="41"/>
      <c r="D113" s="57">
        <f>SUM(D114)</f>
        <v>0</v>
      </c>
      <c r="E113" s="57">
        <f>SUM(E114)</f>
        <v>0</v>
      </c>
      <c r="F113" s="57">
        <f>SUM(F114)</f>
        <v>0</v>
      </c>
      <c r="G113" s="57">
        <f>SUM(G114)</f>
        <v>0</v>
      </c>
      <c r="H113" s="57"/>
      <c r="I113" s="58">
        <f>SUM(I114)</f>
        <v>0</v>
      </c>
      <c r="J113" s="58">
        <f>SUM(J114)</f>
        <v>0</v>
      </c>
      <c r="K113" s="85">
        <f>SUM(K114)</f>
        <v>0</v>
      </c>
      <c r="L113" s="85">
        <f>SUM(L114)</f>
        <v>0</v>
      </c>
      <c r="M113" s="58">
        <f>SUM(M114:M115)</f>
        <v>-5043600</v>
      </c>
      <c r="N113" s="57">
        <f>SUM(N114:N116)</f>
        <v>-10407609</v>
      </c>
      <c r="O113" s="57">
        <f>SUM(O114:O116)</f>
        <v>-19892278</v>
      </c>
      <c r="P113" s="60">
        <f>SUM(D113:O113)</f>
        <v>-35343487</v>
      </c>
      <c r="Q113" s="5">
        <f t="shared" si="14"/>
        <v>-9484669</v>
      </c>
      <c r="R113" s="6"/>
    </row>
    <row r="114" spans="1:18" x14ac:dyDescent="0.2">
      <c r="A114" s="18" t="s">
        <v>143</v>
      </c>
      <c r="B114" s="67" t="s">
        <v>144</v>
      </c>
      <c r="C114" s="41"/>
      <c r="D114" s="61">
        <f>IFERROR(VLOOKUP(B114,'[1]MENSUAL 01-2025'!A:J,10,0),0)</f>
        <v>0</v>
      </c>
      <c r="E114" s="61">
        <f>IFERROR(VLOOKUP('[1]EEFF GESTIÓN S.R'!B114,'[1]MENSUAL 02-2025'!A:J,10,0),0)</f>
        <v>0</v>
      </c>
      <c r="F114" s="61">
        <f>IFERROR(VLOOKUP(B114,'[1]MENSUAL 03-2025'!A:J,10,0),0)</f>
        <v>0</v>
      </c>
      <c r="G114" s="61">
        <f>IFERROR(VLOOKUP(B114,'[1]MENSUAL 04-2025'!A:J,10,0),0)</f>
        <v>0</v>
      </c>
      <c r="H114" s="61">
        <f>IFERROR(VLOOKUP(B114,'[1]MENSUAL 05-2025'!A:J,10,0),0)</f>
        <v>0</v>
      </c>
      <c r="I114" s="62">
        <f>IFERROR(VLOOKUP(B114,'[1]MENSUAL 06-2025'!A:J,10,0),0)</f>
        <v>0</v>
      </c>
      <c r="J114" s="81">
        <f>IFERROR(VLOOKUP(B114,'[1]MENSUAL 07-2025'!A:J,10,0),0)</f>
        <v>0</v>
      </c>
      <c r="K114" s="82">
        <f>IFERROR(VLOOKUP(B114,'[1]MENSUAL 08-2025 '!A:J,10,0),0)</f>
        <v>0</v>
      </c>
      <c r="L114" s="81">
        <f>IFERROR(VLOOKUP(B114,'[1]MENSUAL 09-2025'!A:J,10,0),0)</f>
        <v>0</v>
      </c>
      <c r="M114" s="81">
        <f>IFERROR(VLOOKUP(B114,'[1]MENSUAL 10-2025'!A:J,10,0),0)</f>
        <v>0</v>
      </c>
      <c r="N114" s="86">
        <f>IFERROR(VLOOKUP(B114,'[1]MENSUAL 11-2025'!A:J,10,0),0)</f>
        <v>0</v>
      </c>
      <c r="O114" s="64">
        <f>IFERROR(VLOOKUP(B114,'[1]MENSUAL 12-2025'!A:J,10,0),0)</f>
        <v>-19892278</v>
      </c>
      <c r="P114" s="65">
        <f>SUM(D114:O114)</f>
        <v>-19892278</v>
      </c>
      <c r="Q114" s="5">
        <f t="shared" si="14"/>
        <v>-19892278</v>
      </c>
      <c r="R114" s="6"/>
    </row>
    <row r="115" spans="1:18" x14ac:dyDescent="0.2">
      <c r="A115" s="18"/>
      <c r="B115" s="87" t="s">
        <v>145</v>
      </c>
      <c r="C115" s="41"/>
      <c r="D115" s="49">
        <f>IFERROR(VLOOKUP(B115,'[1]MENSUAL 01-2025'!A:J,10,0),0)</f>
        <v>0</v>
      </c>
      <c r="E115" s="49">
        <f>IFERROR(VLOOKUP('[1]EEFF GESTIÓN S.R'!B115,'[1]MENSUAL 02-2025'!A:J,10,0),0)</f>
        <v>0</v>
      </c>
      <c r="F115" s="49">
        <f>IFERROR(VLOOKUP(B115,'[1]MENSUAL 03-2025'!A:J,10,0),0)</f>
        <v>0</v>
      </c>
      <c r="G115" s="49">
        <f>IFERROR(VLOOKUP(B115,'[1]MENSUAL 04-2025'!A:J,10,0),0)</f>
        <v>0</v>
      </c>
      <c r="H115" s="49">
        <f>IFERROR(VLOOKUP(B115,'[1]MENSUAL 05-2025'!A:J,10,0),0)</f>
        <v>0</v>
      </c>
      <c r="I115" s="49">
        <f>IFERROR(VLOOKUP(B115,'[1]MENSUAL 06-2025'!A:J,10,0),0)</f>
        <v>0</v>
      </c>
      <c r="J115" s="49">
        <f>IFERROR(VLOOKUP(B115,'[1]MENSUAL 07-2025'!A:J,10,0),0)</f>
        <v>0</v>
      </c>
      <c r="K115" s="28">
        <f>IFERROR(VLOOKUP(B115,'[1]MENSUAL 08-2025 '!A:J,10,0),0)</f>
        <v>0</v>
      </c>
      <c r="L115" s="76">
        <f>IFERROR(VLOOKUP(B115,'[1]MENSUAL 09-2025'!A:J,10,0),0)</f>
        <v>0</v>
      </c>
      <c r="M115" s="76">
        <f>IFERROR(VLOOKUP(B115,'[1]MENSUAL 10-2025'!A:J,10,0),0)</f>
        <v>-5043600</v>
      </c>
      <c r="N115" s="48">
        <f>IFERROR(VLOOKUP(B115,'[1]MENSUAL 11-2025'!A:J,10,0),0)</f>
        <v>-9555016</v>
      </c>
      <c r="O115" s="30">
        <f>IFERROR(VLOOKUP(B115,'[1]MENSUAL 12-2025'!A:J,10,0),0)</f>
        <v>0</v>
      </c>
      <c r="P115" s="49">
        <f t="shared" ref="P115" si="22">SUM(D115:O115)</f>
        <v>-14598616</v>
      </c>
      <c r="Q115" s="5">
        <f t="shared" si="14"/>
        <v>9555016</v>
      </c>
      <c r="R115" s="6"/>
    </row>
    <row r="116" spans="1:18" ht="12.75" thickBot="1" x14ac:dyDescent="0.25">
      <c r="A116" s="18"/>
      <c r="B116" s="87" t="s">
        <v>146</v>
      </c>
      <c r="C116" s="41"/>
      <c r="D116" s="65"/>
      <c r="E116" s="65"/>
      <c r="F116" s="65"/>
      <c r="G116" s="65"/>
      <c r="H116" s="65"/>
      <c r="I116" s="75"/>
      <c r="J116" s="81"/>
      <c r="K116" s="82"/>
      <c r="L116" s="81"/>
      <c r="M116" s="81"/>
      <c r="N116" s="72">
        <f>IFERROR(VLOOKUP(B116,'[1]MENSUAL 11-2025'!A:J,10,0),0)</f>
        <v>-852593</v>
      </c>
      <c r="O116" s="30">
        <f>IFERROR(VLOOKUP(B116,'[1]MENSUAL 12-2025'!A:J,10,0),0)</f>
        <v>0</v>
      </c>
      <c r="P116" s="30">
        <f>IFERROR(VLOOKUP(C116,'[1]MENSUAL 12-2025'!B:K,10,0),0)</f>
        <v>0</v>
      </c>
      <c r="Q116" s="5">
        <f t="shared" si="14"/>
        <v>852593</v>
      </c>
      <c r="R116" s="6"/>
    </row>
    <row r="117" spans="1:18" ht="12.75" thickBot="1" x14ac:dyDescent="0.25">
      <c r="A117" s="18" t="s">
        <v>147</v>
      </c>
      <c r="B117" s="56" t="s">
        <v>148</v>
      </c>
      <c r="C117" s="41"/>
      <c r="D117" s="57">
        <f t="shared" ref="D117:O117" si="23">SUM(D118:D135)</f>
        <v>-149441667</v>
      </c>
      <c r="E117" s="57">
        <f t="shared" si="23"/>
        <v>-119389161</v>
      </c>
      <c r="F117" s="57">
        <f t="shared" si="23"/>
        <v>-162105088</v>
      </c>
      <c r="G117" s="57">
        <f t="shared" si="23"/>
        <v>-281935337</v>
      </c>
      <c r="H117" s="57">
        <f t="shared" si="23"/>
        <v>-140689696</v>
      </c>
      <c r="I117" s="58">
        <f t="shared" si="23"/>
        <v>-193546144</v>
      </c>
      <c r="J117" s="58">
        <f t="shared" si="23"/>
        <v>-179927646</v>
      </c>
      <c r="K117" s="57">
        <f t="shared" si="23"/>
        <v>-168960185</v>
      </c>
      <c r="L117" s="88">
        <f t="shared" si="23"/>
        <v>-161549262</v>
      </c>
      <c r="M117" s="57">
        <f t="shared" si="23"/>
        <v>-205090401</v>
      </c>
      <c r="N117" s="57">
        <f t="shared" si="23"/>
        <v>-347066617</v>
      </c>
      <c r="O117" s="57">
        <f t="shared" si="23"/>
        <v>-137595765</v>
      </c>
      <c r="P117" s="60">
        <f t="shared" ref="P117:P135" si="24">SUM(D117:O117)</f>
        <v>-2247296969</v>
      </c>
      <c r="Q117" s="5">
        <f t="shared" si="14"/>
        <v>209470852</v>
      </c>
      <c r="R117" s="6"/>
    </row>
    <row r="118" spans="1:18" x14ac:dyDescent="0.2">
      <c r="A118" s="18" t="s">
        <v>149</v>
      </c>
      <c r="B118" s="67" t="s">
        <v>150</v>
      </c>
      <c r="C118" s="41"/>
      <c r="D118" s="65">
        <f>IFERROR(VLOOKUP(B118,'[1]MENSUAL 01-2025'!A:J,10,0),0)</f>
        <v>207212</v>
      </c>
      <c r="E118" s="65">
        <f>IFERROR(VLOOKUP('[1]EEFF GESTIÓN S.R'!B118,'[1]MENSUAL 02-2025'!A:J,10,0),0)</f>
        <v>289860</v>
      </c>
      <c r="F118" s="89">
        <f>IFERROR(VLOOKUP(B118,'[1]MENSUAL 03-2025'!A:J,10,0),0)</f>
        <v>0</v>
      </c>
      <c r="G118" s="65">
        <f>IFERROR(VLOOKUP(B118,'[1]MENSUAL 04-2025'!A:J,10,0),0)</f>
        <v>0</v>
      </c>
      <c r="H118" s="65">
        <f>IFERROR(VLOOKUP(B118,'[1]MENSUAL 05-2025'!A:J,10,0),0)</f>
        <v>0</v>
      </c>
      <c r="I118" s="75">
        <f>IFERROR(VLOOKUP(B118,'[1]MENSUAL 06-2025'!A:J,10,0),0)</f>
        <v>0</v>
      </c>
      <c r="J118" s="75">
        <f>IFERROR(VLOOKUP(B118,'[1]MENSUAL 07-2025'!A:J,10,0),0)</f>
        <v>98678</v>
      </c>
      <c r="K118" s="61">
        <f>IFERROR(VLOOKUP(B118,'[1]MENSUAL 08-2025 '!A:J,10,0),0)</f>
        <v>0</v>
      </c>
      <c r="L118" s="90">
        <f>IFERROR(VLOOKUP(B118,'[1]MENSUAL 09-2025'!A:J,10,0),0)</f>
        <v>-98678</v>
      </c>
      <c r="M118" s="75">
        <f>IFERROR(VLOOKUP(B118,'[1]MENSUAL 10-2025'!A:J,10,0),0)</f>
        <v>469</v>
      </c>
      <c r="N118" s="72">
        <f>IFERROR(VLOOKUP(B118,'[1]MENSUAL 11-2025'!A:J,10,0),0)</f>
        <v>516</v>
      </c>
      <c r="O118" s="64">
        <f>IFERROR(VLOOKUP(B118,'[1]MENSUAL 12-2025'!A:J,10,0),0)</f>
        <v>0</v>
      </c>
      <c r="P118" s="65">
        <f t="shared" si="24"/>
        <v>498057</v>
      </c>
      <c r="Q118" s="5">
        <f t="shared" si="14"/>
        <v>-516</v>
      </c>
      <c r="R118" s="6"/>
    </row>
    <row r="119" spans="1:18" x14ac:dyDescent="0.2">
      <c r="A119" s="18" t="s">
        <v>151</v>
      </c>
      <c r="B119" s="67" t="s">
        <v>152</v>
      </c>
      <c r="C119" s="41"/>
      <c r="D119" s="49">
        <f>IFERROR(VLOOKUP(B119,'[1]MENSUAL 01-2025'!A:J,10,0),0)</f>
        <v>-94933143</v>
      </c>
      <c r="E119" s="49">
        <f>IFERROR(VLOOKUP('[1]EEFF GESTIÓN S.R'!B119,'[1]MENSUAL 02-2025'!A:J,10,0),0)</f>
        <v>-95467797</v>
      </c>
      <c r="F119" s="31">
        <f>IFERROR(VLOOKUP(B119,'[1]MENSUAL 03-2025'!A:J,10,0),0)</f>
        <v>-96743345</v>
      </c>
      <c r="G119" s="49">
        <f>IFERROR(VLOOKUP(B119,'[1]MENSUAL 04-2025'!A:J,10,0),0)</f>
        <v>-99307655</v>
      </c>
      <c r="H119" s="49">
        <f>IFERROR(VLOOKUP(B119,'[1]MENSUAL 05-2025'!A:J,10,0),0)</f>
        <v>-99962252</v>
      </c>
      <c r="I119" s="76">
        <f>IFERROR(VLOOKUP(B119,'[1]MENSUAL 06-2025'!A:J,10,0),0)</f>
        <v>-87826424</v>
      </c>
      <c r="J119" s="76">
        <f>IFERROR(VLOOKUP(B119,'[1]MENSUAL 07-2025'!A:J,10,0),0)</f>
        <v>-114304990</v>
      </c>
      <c r="K119" s="28">
        <f>IFERROR(VLOOKUP(B119,'[1]MENSUAL 08-2025 '!A:J,10,0),0)</f>
        <v>-101323527</v>
      </c>
      <c r="L119" s="91">
        <f>IFERROR(VLOOKUP(B119,'[1]MENSUAL 09-2025'!A:J,10,0),0)</f>
        <v>-103113270</v>
      </c>
      <c r="M119" s="75">
        <f>IFERROR(VLOOKUP(B119,'[1]MENSUAL 10-2025'!A:J,10,0),0)</f>
        <v>-103297417</v>
      </c>
      <c r="N119" s="48">
        <f>IFERROR(VLOOKUP(B119,'[1]MENSUAL 11-2025'!A:J,10,0),0)</f>
        <v>-104495330</v>
      </c>
      <c r="O119" s="30">
        <f>IFERROR(VLOOKUP(B119,'[1]MENSUAL 12-2025'!A:J,10,0),0)</f>
        <v>-104776070</v>
      </c>
      <c r="P119" s="49">
        <f t="shared" si="24"/>
        <v>-1205551220</v>
      </c>
      <c r="Q119" s="5">
        <f t="shared" si="14"/>
        <v>-280740</v>
      </c>
      <c r="R119" s="6"/>
    </row>
    <row r="120" spans="1:18" x14ac:dyDescent="0.2">
      <c r="A120" s="18"/>
      <c r="B120" s="67" t="s">
        <v>153</v>
      </c>
      <c r="C120" s="41"/>
      <c r="D120" s="49">
        <f>IFERROR(VLOOKUP(B120,'[1]MENSUAL 01-2025'!A:J,10,0),0)</f>
        <v>-4280156</v>
      </c>
      <c r="E120" s="49">
        <f>IFERROR(VLOOKUP('[1]EEFF GESTIÓN S.R'!B120,'[1]MENSUAL 02-2025'!A:J,10,0),0)</f>
        <v>-3975664</v>
      </c>
      <c r="F120" s="31">
        <f>IFERROR(VLOOKUP(B120,'[1]MENSUAL 03-2025'!A:J,10,0),0)</f>
        <v>-4607037</v>
      </c>
      <c r="G120" s="49">
        <f>IFERROR(VLOOKUP(B120,'[1]MENSUAL 04-2025'!A:J,10,0),0)</f>
        <v>-4934117</v>
      </c>
      <c r="H120" s="49">
        <f>IFERROR(VLOOKUP(B120,'[1]MENSUAL 05-2025'!A:J,10,0),0)</f>
        <v>-4053512</v>
      </c>
      <c r="I120" s="76">
        <f>IFERROR(VLOOKUP(B120,'[1]MENSUAL 06-2025'!A:J,10,0),0)</f>
        <v>-5264416</v>
      </c>
      <c r="J120" s="76">
        <f>IFERROR(VLOOKUP(B120,'[1]MENSUAL 07-2025'!A:J,10,0),0)</f>
        <v>-4099155</v>
      </c>
      <c r="K120" s="28">
        <f>IFERROR(VLOOKUP(B120,'[1]MENSUAL 08-2025 '!A:J,10,0),0)</f>
        <v>-4988182</v>
      </c>
      <c r="L120" s="91">
        <f>IFERROR(VLOOKUP(B120,'[1]MENSUAL 09-2025'!A:J,10,0),0)</f>
        <v>-4485989</v>
      </c>
      <c r="M120" s="75">
        <f>IFERROR(VLOOKUP(B120,'[1]MENSUAL 10-2025'!A:J,10,0),0)</f>
        <v>-4493963</v>
      </c>
      <c r="N120" s="48">
        <f>IFERROR(VLOOKUP(B120,'[1]MENSUAL 11-2025'!A:J,10,0),0)</f>
        <v>-4056570</v>
      </c>
      <c r="O120" s="30">
        <f>IFERROR(VLOOKUP(B120,'[1]MENSUAL 12-2025'!A:J,10,0),0)</f>
        <v>-5045769</v>
      </c>
      <c r="P120" s="49">
        <f t="shared" si="24"/>
        <v>-54284530</v>
      </c>
      <c r="Q120" s="5">
        <f t="shared" si="14"/>
        <v>-989199</v>
      </c>
      <c r="R120" s="6"/>
    </row>
    <row r="121" spans="1:18" x14ac:dyDescent="0.2">
      <c r="A121" s="18"/>
      <c r="B121" s="67" t="s">
        <v>154</v>
      </c>
      <c r="C121" s="41"/>
      <c r="D121" s="49">
        <f>IFERROR(VLOOKUP(B121,'[1]MENSUAL 01-2025'!A:J,10,0),0)</f>
        <v>0</v>
      </c>
      <c r="E121" s="49">
        <f>IFERROR(VLOOKUP('[1]EEFF GESTIÓN S.R'!B121,'[1]MENSUAL 02-2025'!A:J,10,0),0)</f>
        <v>0</v>
      </c>
      <c r="F121" s="31">
        <f>IFERROR(VLOOKUP(B121,'[1]MENSUAL 03-2025'!A:J,10,0),0)</f>
        <v>-633097</v>
      </c>
      <c r="G121" s="49">
        <f>IFERROR(VLOOKUP(B121,'[1]MENSUAL 04-2025'!A:J,10,0),0)</f>
        <v>0</v>
      </c>
      <c r="H121" s="49">
        <f>IFERROR(VLOOKUP(B121,'[1]MENSUAL 05-2025'!A:J,10,0),0)</f>
        <v>0</v>
      </c>
      <c r="I121" s="76">
        <f>IFERROR(VLOOKUP(B121,'[1]MENSUAL 06-2025'!A:J,10,0),0)</f>
        <v>0</v>
      </c>
      <c r="J121" s="76">
        <f>IFERROR(VLOOKUP(B121,'[1]MENSUAL 07-2025'!A:J,10,0),0)</f>
        <v>0</v>
      </c>
      <c r="K121" s="28">
        <f>IFERROR(VLOOKUP(B121,'[1]MENSUAL 08-2025 '!A:J,10,0),0)</f>
        <v>0</v>
      </c>
      <c r="L121" s="91">
        <f>IFERROR(VLOOKUP(B121,'[1]MENSUAL 09-2025'!A:J,10,0),0)</f>
        <v>0</v>
      </c>
      <c r="M121" s="75">
        <f>IFERROR(VLOOKUP(B121,'[1]MENSUAL 10-2025'!A:J,10,0),0)</f>
        <v>0</v>
      </c>
      <c r="N121" s="49">
        <f>IFERROR(VLOOKUP(B121,'[1]MENSUAL 11-2025'!A:J,10,0),0)</f>
        <v>0</v>
      </c>
      <c r="O121" s="30">
        <f>IFERROR(VLOOKUP(B121,'[1]MENSUAL 12-2025'!A:J,10,0),0)</f>
        <v>0</v>
      </c>
      <c r="P121" s="49">
        <f t="shared" si="24"/>
        <v>-633097</v>
      </c>
      <c r="Q121" s="5">
        <f t="shared" si="14"/>
        <v>0</v>
      </c>
      <c r="R121" s="6"/>
    </row>
    <row r="122" spans="1:18" x14ac:dyDescent="0.2">
      <c r="A122" s="18"/>
      <c r="B122" s="67" t="s">
        <v>155</v>
      </c>
      <c r="C122" s="41"/>
      <c r="D122" s="49">
        <f>IFERROR(VLOOKUP(B122,'[1]MENSUAL 01-2025'!A:J,10,0),0)</f>
        <v>-3378986</v>
      </c>
      <c r="E122" s="49">
        <f>IFERROR(VLOOKUP('[1]EEFF GESTIÓN S.R'!B122,'[1]MENSUAL 02-2025'!A:J,10,0),0)</f>
        <v>-2055704</v>
      </c>
      <c r="F122" s="31">
        <f>IFERROR(VLOOKUP(B122,'[1]MENSUAL 03-2025'!A:J,10,0),0)</f>
        <v>-2074387</v>
      </c>
      <c r="G122" s="49">
        <f>IFERROR(VLOOKUP(B122,'[1]MENSUAL 04-2025'!A:J,10,0),0)</f>
        <v>-1795577</v>
      </c>
      <c r="H122" s="49">
        <f>IFERROR(VLOOKUP(B122,'[1]MENSUAL 05-2025'!A:J,10,0),0)</f>
        <v>-2083035</v>
      </c>
      <c r="I122" s="76">
        <f>IFERROR(VLOOKUP(B122,'[1]MENSUAL 06-2025'!A:J,10,0),0)</f>
        <v>-2514600</v>
      </c>
      <c r="J122" s="76">
        <f>IFERROR(VLOOKUP(B122,'[1]MENSUAL 07-2025'!A:J,10,0),0)</f>
        <v>-4338740</v>
      </c>
      <c r="K122" s="28">
        <f>IFERROR(VLOOKUP(B122,'[1]MENSUAL 08-2025 '!A:J,10,0),0)</f>
        <v>-3071875</v>
      </c>
      <c r="L122" s="91">
        <f>IFERROR(VLOOKUP(B122,'[1]MENSUAL 09-2025'!A:J,10,0),0)</f>
        <v>-3949892</v>
      </c>
      <c r="M122" s="75">
        <f>IFERROR(VLOOKUP(B122,'[1]MENSUAL 10-2025'!A:J,10,0),0)</f>
        <v>-2286468</v>
      </c>
      <c r="N122" s="48">
        <f>IFERROR(VLOOKUP(B122,'[1]MENSUAL 11-2025'!A:J,10,0),0)</f>
        <v>-3748308</v>
      </c>
      <c r="O122" s="30">
        <f>IFERROR(VLOOKUP(B122,'[1]MENSUAL 12-2025'!A:J,10,0),0)</f>
        <v>-3105671</v>
      </c>
      <c r="P122" s="49">
        <f t="shared" si="24"/>
        <v>-34403243</v>
      </c>
      <c r="Q122" s="5">
        <f t="shared" si="14"/>
        <v>642637</v>
      </c>
      <c r="R122" s="6"/>
    </row>
    <row r="123" spans="1:18" x14ac:dyDescent="0.2">
      <c r="A123" s="18" t="s">
        <v>35</v>
      </c>
      <c r="B123" s="67" t="s">
        <v>156</v>
      </c>
      <c r="C123" s="41"/>
      <c r="D123" s="49">
        <f>IFERROR(VLOOKUP(B123,'[1]MENSUAL 01-2025'!A:J,10,0),0)</f>
        <v>-8259794</v>
      </c>
      <c r="E123" s="49">
        <f>IFERROR(VLOOKUP('[1]EEFF GESTIÓN S.R'!B123,'[1]MENSUAL 02-2025'!A:J,10,0),0)</f>
        <v>-791858</v>
      </c>
      <c r="F123" s="31">
        <f>IFERROR(VLOOKUP(B123,'[1]MENSUAL 03-2025'!A:J,10,0),0)</f>
        <v>-6199653</v>
      </c>
      <c r="G123" s="49">
        <f>IFERROR(VLOOKUP(B123,'[1]MENSUAL 04-2025'!A:J,10,0),0)</f>
        <v>-3111813</v>
      </c>
      <c r="H123" s="49">
        <f>IFERROR(VLOOKUP(B123,'[1]MENSUAL 05-2025'!A:J,10,0),0)</f>
        <v>-2889273</v>
      </c>
      <c r="I123" s="76">
        <f>IFERROR(VLOOKUP(B123,'[1]MENSUAL 06-2025'!A:J,10,0),0)</f>
        <v>-661263</v>
      </c>
      <c r="J123" s="76">
        <f>IFERROR(VLOOKUP(B123,'[1]MENSUAL 07-2025'!A:J,10,0),0)</f>
        <v>-4338508</v>
      </c>
      <c r="K123" s="28">
        <f>IFERROR(VLOOKUP(B123,'[1]MENSUAL 08-2025 '!A:J,10,0),0)</f>
        <v>-1050683</v>
      </c>
      <c r="L123" s="91">
        <f>IFERROR(VLOOKUP(B123,'[1]MENSUAL 09-2025'!A:J,10,0),0)</f>
        <v>-4122694</v>
      </c>
      <c r="M123" s="75">
        <f>IFERROR(VLOOKUP(B123,'[1]MENSUAL 10-2025'!A:J,10,0),0)</f>
        <v>-2816443</v>
      </c>
      <c r="N123" s="48">
        <f>IFERROR(VLOOKUP(B123,'[1]MENSUAL 11-2025'!A:J,10,0),0)</f>
        <v>-3808566</v>
      </c>
      <c r="O123" s="30">
        <f>IFERROR(VLOOKUP(B123,'[1]MENSUAL 12-2025'!A:J,10,0),0)</f>
        <v>-8376010</v>
      </c>
      <c r="P123" s="49">
        <f t="shared" si="24"/>
        <v>-46426558</v>
      </c>
      <c r="Q123" s="5">
        <f t="shared" si="14"/>
        <v>-4567444</v>
      </c>
      <c r="R123" s="6"/>
    </row>
    <row r="124" spans="1:18" x14ac:dyDescent="0.2">
      <c r="A124" s="18"/>
      <c r="B124" s="67" t="s">
        <v>157</v>
      </c>
      <c r="C124" s="41"/>
      <c r="D124" s="49">
        <f>IFERROR(VLOOKUP(B124,'[1]MENSUAL 01-2025'!A:J,10,0),0)</f>
        <v>0</v>
      </c>
      <c r="E124" s="49">
        <f>IFERROR(VLOOKUP('[1]EEFF GESTIÓN S.R'!B124,'[1]MENSUAL 02-2025'!A:J,10,0),0)</f>
        <v>0</v>
      </c>
      <c r="F124" s="31">
        <f>IFERROR(VLOOKUP(B124,'[1]MENSUAL 03-2025'!A:J,10,0),0)</f>
        <v>0</v>
      </c>
      <c r="G124" s="49">
        <f>IFERROR(VLOOKUP(B124,'[1]MENSUAL 04-2025'!A:J,10,0),0)</f>
        <v>0</v>
      </c>
      <c r="H124" s="49">
        <f>IFERROR(VLOOKUP(B124,'[1]MENSUAL 05-2025'!A:J,10,0),0)</f>
        <v>0</v>
      </c>
      <c r="I124" s="76">
        <f>IFERROR(VLOOKUP(B124,'[1]MENSUAL 06-2025'!A:J,10,0),0)</f>
        <v>0</v>
      </c>
      <c r="J124" s="76">
        <f>IFERROR(VLOOKUP(B124,'[1]MENSUAL 07-2025'!A:J,10,0),0)</f>
        <v>0</v>
      </c>
      <c r="K124" s="28">
        <f>IFERROR(VLOOKUP(B124,'[1]MENSUAL 08-2025 '!A:J,10,0),0)</f>
        <v>-11687617</v>
      </c>
      <c r="L124" s="91">
        <f>IFERROR(VLOOKUP(B124,'[1]MENSUAL 09-2025'!A:J,10,0),0)</f>
        <v>0</v>
      </c>
      <c r="M124" s="75">
        <f>IFERROR(VLOOKUP(B124,'[1]MENSUAL 10-2025'!A:J,10,0),0)</f>
        <v>-25583622</v>
      </c>
      <c r="N124" s="49">
        <f>IFERROR(VLOOKUP(B124,'[1]MENSUAL 11-2025'!A:J,10,0),0)</f>
        <v>0</v>
      </c>
      <c r="O124" s="30">
        <f>IFERROR(VLOOKUP(B124,'[1]MENSUAL 12-2025'!A:J,10,0),0)</f>
        <v>0</v>
      </c>
      <c r="P124" s="49">
        <f t="shared" si="24"/>
        <v>-37271239</v>
      </c>
      <c r="Q124" s="5">
        <f t="shared" si="14"/>
        <v>0</v>
      </c>
      <c r="R124" s="6"/>
    </row>
    <row r="125" spans="1:18" x14ac:dyDescent="0.2">
      <c r="A125" s="18"/>
      <c r="B125" s="67" t="s">
        <v>158</v>
      </c>
      <c r="C125" s="41"/>
      <c r="D125" s="49">
        <f>IFERROR(VLOOKUP(B125,'[1]MENSUAL 01-2025'!A:J,10,0),0)</f>
        <v>0</v>
      </c>
      <c r="E125" s="49">
        <f>IFERROR(VLOOKUP('[1]EEFF GESTIÓN S.R'!B125,'[1]MENSUAL 02-2025'!A:J,10,0),0)</f>
        <v>0</v>
      </c>
      <c r="F125" s="31">
        <f>IFERROR(VLOOKUP(B125,'[1]MENSUAL 03-2025'!A:J,10,0),0)</f>
        <v>0</v>
      </c>
      <c r="G125" s="49">
        <f>IFERROR(VLOOKUP(B125,'[1]MENSUAL 04-2025'!A:J,10,0),0)</f>
        <v>0</v>
      </c>
      <c r="H125" s="49">
        <f>IFERROR(VLOOKUP(B125,'[1]MENSUAL 05-2025'!A:J,10,0),0)</f>
        <v>0</v>
      </c>
      <c r="I125" s="76">
        <f>IFERROR(VLOOKUP(B125,'[1]MENSUAL 06-2025'!A:J,10,0),0)</f>
        <v>0</v>
      </c>
      <c r="J125" s="76">
        <f>IFERROR(VLOOKUP(B125,'[1]MENSUAL 07-2025'!A:J,10,0),0)</f>
        <v>0</v>
      </c>
      <c r="K125" s="28">
        <f>IFERROR(VLOOKUP(B125,'[1]MENSUAL 08-2025 '!A:J,10,0),0)</f>
        <v>0</v>
      </c>
      <c r="L125" s="91">
        <f>IFERROR(VLOOKUP(B125,'[1]MENSUAL 09-2025'!A:J,10,0),0)</f>
        <v>0</v>
      </c>
      <c r="M125" s="75">
        <f>IFERROR(VLOOKUP(B125,'[1]MENSUAL 10-2025'!A:J,10,0),0)</f>
        <v>0</v>
      </c>
      <c r="N125" s="49">
        <f>IFERROR(VLOOKUP(B125,'[1]MENSUAL 11-2025'!A:J,10,0),0)</f>
        <v>0</v>
      </c>
      <c r="O125" s="30">
        <f>IFERROR(VLOOKUP(B125,'[1]MENSUAL 12-2025'!A:J,10,0),0)</f>
        <v>0</v>
      </c>
      <c r="P125" s="49">
        <f t="shared" si="24"/>
        <v>0</v>
      </c>
      <c r="Q125" s="5">
        <f t="shared" si="14"/>
        <v>0</v>
      </c>
      <c r="R125" s="6"/>
    </row>
    <row r="126" spans="1:18" x14ac:dyDescent="0.2">
      <c r="A126" s="18"/>
      <c r="B126" s="67" t="s">
        <v>159</v>
      </c>
      <c r="C126" s="41"/>
      <c r="D126" s="49">
        <f>IFERROR(VLOOKUP(B126,'[1]MENSUAL 01-2025'!A:J,10,0),0)</f>
        <v>-330028</v>
      </c>
      <c r="E126" s="49">
        <f>IFERROR(VLOOKUP('[1]EEFF GESTIÓN S.R'!B126,'[1]MENSUAL 02-2025'!A:J,10,0),0)</f>
        <v>-64747</v>
      </c>
      <c r="F126" s="31">
        <f>IFERROR(VLOOKUP(B126,'[1]MENSUAL 03-2025'!A:J,10,0),0)</f>
        <v>-1021099</v>
      </c>
      <c r="G126" s="49">
        <f>IFERROR(VLOOKUP(B126,'[1]MENSUAL 04-2025'!A:J,10,0),0)</f>
        <v>-275750</v>
      </c>
      <c r="H126" s="49">
        <f>IFERROR(VLOOKUP(B126,'[1]MENSUAL 05-2025'!A:J,10,0),0)</f>
        <v>-953248</v>
      </c>
      <c r="I126" s="76">
        <f>IFERROR(VLOOKUP(B126,'[1]MENSUAL 06-2025'!A:J,10,0),0)</f>
        <v>-1780613</v>
      </c>
      <c r="J126" s="76">
        <f>IFERROR(VLOOKUP(B126,'[1]MENSUAL 07-2025'!A:J,10,0),0)</f>
        <v>-1947970</v>
      </c>
      <c r="K126" s="28">
        <f>IFERROR(VLOOKUP(B126,'[1]MENSUAL 08-2025 '!A:J,10,0),0)</f>
        <v>-1651849</v>
      </c>
      <c r="L126" s="91">
        <f>IFERROR(VLOOKUP(B126,'[1]MENSUAL 09-2025'!A:J,10,0),0)</f>
        <v>-1772834</v>
      </c>
      <c r="M126" s="75">
        <f>IFERROR(VLOOKUP(B126,'[1]MENSUAL 10-2025'!A:J,10,0),0)</f>
        <v>-2140004</v>
      </c>
      <c r="N126" s="48">
        <f>IFERROR(VLOOKUP(B126,'[1]MENSUAL 11-2025'!A:J,10,0),0)</f>
        <v>-684409</v>
      </c>
      <c r="O126" s="30">
        <f>IFERROR(VLOOKUP(B126,'[1]MENSUAL 12-2025'!A:J,10,0),0)</f>
        <v>-379634</v>
      </c>
      <c r="P126" s="49">
        <f t="shared" si="24"/>
        <v>-13002185</v>
      </c>
      <c r="Q126" s="5">
        <f t="shared" si="14"/>
        <v>304775</v>
      </c>
      <c r="R126" s="6"/>
    </row>
    <row r="127" spans="1:18" x14ac:dyDescent="0.2">
      <c r="A127" s="18"/>
      <c r="B127" s="67" t="s">
        <v>160</v>
      </c>
      <c r="C127" s="41"/>
      <c r="D127" s="49">
        <f>IFERROR(VLOOKUP(B127,'[1]MENSUAL 01-2025'!A:J,10,0),0)</f>
        <v>0</v>
      </c>
      <c r="E127" s="49">
        <f>IFERROR(VLOOKUP('[1]EEFF GESTIÓN S.R'!B127,'[1]MENSUAL 02-2025'!A:J,10,0),0)</f>
        <v>0</v>
      </c>
      <c r="F127" s="31">
        <f>IFERROR(VLOOKUP(B127,'[1]MENSUAL 03-2025'!A:J,10,0),0)</f>
        <v>-58824</v>
      </c>
      <c r="G127" s="49">
        <f>IFERROR(VLOOKUP(B127,'[1]MENSUAL 04-2025'!A:J,10,0),0)</f>
        <v>-11336</v>
      </c>
      <c r="H127" s="49">
        <f>IFERROR(VLOOKUP(B127,'[1]MENSUAL 05-2025'!A:J,10,0),0)</f>
        <v>0</v>
      </c>
      <c r="I127" s="76">
        <f>IFERROR(VLOOKUP(B127,'[1]MENSUAL 06-2025'!A:J,10,0),0)</f>
        <v>-55752</v>
      </c>
      <c r="J127" s="76">
        <f>IFERROR(VLOOKUP(B127,'[1]MENSUAL 07-2025'!A:J,10,0),0)</f>
        <v>-28218</v>
      </c>
      <c r="K127" s="28">
        <f>IFERROR(VLOOKUP(B127,'[1]MENSUAL 08-2025 '!A:J,10,0),0)</f>
        <v>0</v>
      </c>
      <c r="L127" s="91">
        <f>IFERROR(VLOOKUP(B127,'[1]MENSUAL 09-2025'!A:J,10,0),0)</f>
        <v>0</v>
      </c>
      <c r="M127" s="75">
        <f>IFERROR(VLOOKUP(B127,'[1]MENSUAL 10-2025'!A:J,10,0),0)</f>
        <v>0</v>
      </c>
      <c r="N127" s="49">
        <f>IFERROR(VLOOKUP(B127,'[1]MENSUAL 11-2025'!A:J,10,0),0)</f>
        <v>0</v>
      </c>
      <c r="O127" s="30">
        <f>IFERROR(VLOOKUP(B127,'[1]MENSUAL 12-2025'!A:J,10,0),0)</f>
        <v>0</v>
      </c>
      <c r="P127" s="49">
        <f t="shared" si="24"/>
        <v>-154130</v>
      </c>
      <c r="Q127" s="5">
        <f t="shared" si="14"/>
        <v>0</v>
      </c>
      <c r="R127" s="6"/>
    </row>
    <row r="128" spans="1:18" x14ac:dyDescent="0.2">
      <c r="A128" s="18"/>
      <c r="B128" s="67" t="s">
        <v>161</v>
      </c>
      <c r="C128" s="41"/>
      <c r="D128" s="49">
        <f>IFERROR(VLOOKUP(B128,'[1]MENSUAL 01-2025'!A:J,10,0),0)</f>
        <v>0</v>
      </c>
      <c r="E128" s="49">
        <f>IFERROR(VLOOKUP('[1]EEFF GESTIÓN S.R'!B128,'[1]MENSUAL 02-2025'!A:J,10,0),0)</f>
        <v>0</v>
      </c>
      <c r="F128" s="31">
        <f>IFERROR(VLOOKUP(B128,'[1]MENSUAL 03-2025'!A:J,10,0),0)</f>
        <v>0</v>
      </c>
      <c r="G128" s="49">
        <f>IFERROR(VLOOKUP(B128,'[1]MENSUAL 04-2025'!A:J,10,0),0)</f>
        <v>0</v>
      </c>
      <c r="H128" s="49">
        <f>IFERROR(VLOOKUP(B128,'[1]MENSUAL 05-2025'!A:J,10,0),0)</f>
        <v>0</v>
      </c>
      <c r="I128" s="76">
        <f>IFERROR(VLOOKUP(B128,'[1]MENSUAL 06-2025'!A:J,10,0),0)</f>
        <v>0</v>
      </c>
      <c r="J128" s="76">
        <f>IFERROR(VLOOKUP(B128,'[1]MENSUAL 07-2025'!A:J,10,0),0)</f>
        <v>0</v>
      </c>
      <c r="K128" s="28">
        <f>IFERROR(VLOOKUP(B128,'[1]MENSUAL 08-2025 '!A:J,10,0),0)</f>
        <v>0</v>
      </c>
      <c r="L128" s="91">
        <f>IFERROR(VLOOKUP(B128,'[1]MENSUAL 09-2025'!A:J,10,0),0)</f>
        <v>0</v>
      </c>
      <c r="M128" s="75">
        <f>IFERROR(VLOOKUP(B128,'[1]MENSUAL 10-2025'!A:J,10,0),0)</f>
        <v>0</v>
      </c>
      <c r="N128" s="49">
        <f>IFERROR(VLOOKUP(B128,'[1]MENSUAL 11-2025'!A:J,10,0),0)</f>
        <v>0</v>
      </c>
      <c r="O128" s="30">
        <f>IFERROR(VLOOKUP(B128,'[1]MENSUAL 12-2025'!A:J,10,0),0)</f>
        <v>0</v>
      </c>
      <c r="P128" s="49">
        <f t="shared" si="24"/>
        <v>0</v>
      </c>
      <c r="Q128" s="5">
        <f t="shared" si="14"/>
        <v>0</v>
      </c>
      <c r="R128" s="6"/>
    </row>
    <row r="129" spans="1:18" x14ac:dyDescent="0.2">
      <c r="A129" s="18"/>
      <c r="B129" s="67" t="s">
        <v>162</v>
      </c>
      <c r="C129" s="41"/>
      <c r="D129" s="49">
        <f>IFERROR(VLOOKUP(B129,'[1]MENSUAL 01-2025'!A:J,10,0),0)</f>
        <v>-492621</v>
      </c>
      <c r="E129" s="49">
        <f>IFERROR(VLOOKUP('[1]EEFF GESTIÓN S.R'!B129,'[1]MENSUAL 02-2025'!A:J,10,0),0)</f>
        <v>0</v>
      </c>
      <c r="F129" s="31">
        <f>IFERROR(VLOOKUP(B129,'[1]MENSUAL 03-2025'!A:J,10,0),0)</f>
        <v>-279720</v>
      </c>
      <c r="G129" s="49">
        <f>IFERROR(VLOOKUP(B129,'[1]MENSUAL 04-2025'!A:J,10,0),0)</f>
        <v>-559440</v>
      </c>
      <c r="H129" s="49">
        <f>IFERROR(VLOOKUP(B129,'[1]MENSUAL 05-2025'!A:J,10,0),0)</f>
        <v>0</v>
      </c>
      <c r="I129" s="76">
        <f>IFERROR(VLOOKUP(B129,'[1]MENSUAL 06-2025'!A:J,10,0),0)</f>
        <v>-565516</v>
      </c>
      <c r="J129" s="76">
        <f>IFERROR(VLOOKUP(B129,'[1]MENSUAL 07-2025'!A:J,10,0),0)</f>
        <v>0</v>
      </c>
      <c r="K129" s="28">
        <f>IFERROR(VLOOKUP(B129,'[1]MENSUAL 08-2025 '!A:J,10,0),0)</f>
        <v>-572707</v>
      </c>
      <c r="L129" s="91">
        <f>IFERROR(VLOOKUP(B129,'[1]MENSUAL 09-2025'!A:J,10,0),0)</f>
        <v>-285796</v>
      </c>
      <c r="M129" s="75">
        <f>IFERROR(VLOOKUP(B129,'[1]MENSUAL 10-2025'!A:J,10,0),0)</f>
        <v>-287781</v>
      </c>
      <c r="N129" s="48">
        <f>IFERROR(VLOOKUP(B129,'[1]MENSUAL 11-2025'!A:J,10,0),0)</f>
        <v>-287781</v>
      </c>
      <c r="O129" s="30">
        <f>IFERROR(VLOOKUP(B129,'[1]MENSUAL 12-2025'!A:J,10,0),0)</f>
        <v>-287781</v>
      </c>
      <c r="P129" s="49">
        <f t="shared" si="24"/>
        <v>-3619143</v>
      </c>
      <c r="Q129" s="5">
        <f t="shared" si="14"/>
        <v>0</v>
      </c>
      <c r="R129" s="6"/>
    </row>
    <row r="130" spans="1:18" x14ac:dyDescent="0.2">
      <c r="A130" s="18" t="s">
        <v>35</v>
      </c>
      <c r="B130" s="67" t="s">
        <v>163</v>
      </c>
      <c r="C130" s="41"/>
      <c r="D130" s="49">
        <f>IFERROR(VLOOKUP(B130,'[1]MENSUAL 01-2025'!A:J,10,0),0)</f>
        <v>-17572354</v>
      </c>
      <c r="E130" s="49">
        <f>IFERROR(VLOOKUP('[1]EEFF GESTIÓN S.R'!B130,'[1]MENSUAL 02-2025'!A:J,10,0),0)</f>
        <v>-13902333</v>
      </c>
      <c r="F130" s="31">
        <f>IFERROR(VLOOKUP(B130,'[1]MENSUAL 03-2025'!A:J,10,0),0)</f>
        <v>-32566348</v>
      </c>
      <c r="G130" s="49">
        <f>IFERROR(VLOOKUP(B130,'[1]MENSUAL 04-2025'!A:J,10,0),0)</f>
        <v>-16245427</v>
      </c>
      <c r="H130" s="49">
        <f>IFERROR(VLOOKUP(B130,'[1]MENSUAL 05-2025'!A:J,10,0),0)</f>
        <v>-20742771</v>
      </c>
      <c r="I130" s="49">
        <f>IFERROR(VLOOKUP(B130,'[1]MENSUAL 06-2025'!A:J,10,0),0)</f>
        <v>-15754571</v>
      </c>
      <c r="J130" s="76">
        <f>IFERROR(VLOOKUP(B130,'[1]MENSUAL 07-2025'!A:J,10,0),0)</f>
        <v>-9490140</v>
      </c>
      <c r="K130" s="28">
        <f>IFERROR(VLOOKUP(B130,'[1]MENSUAL 08-2025 '!A:J,10,0),0)</f>
        <v>-7016413</v>
      </c>
      <c r="L130" s="91">
        <f>IFERROR(VLOOKUP(B130,'[1]MENSUAL 09-2025'!A:J,10,0),0)</f>
        <v>-6748797</v>
      </c>
      <c r="M130" s="76">
        <f>IFERROR(VLOOKUP(B130,'[1]MENSUAL 10-2025'!A:J,10,0),0)</f>
        <v>-9957916</v>
      </c>
      <c r="N130" s="48">
        <f>IFERROR(VLOOKUP(B130,'[1]MENSUAL 11-2025'!A:J,10,0),0)</f>
        <v>-150702</v>
      </c>
      <c r="O130" s="30">
        <f>IFERROR(VLOOKUP(B130,'[1]MENSUAL 12-2025'!A:J,10,0),0)</f>
        <v>0</v>
      </c>
      <c r="P130" s="49">
        <f>SUM(D130:O130)</f>
        <v>-150147772</v>
      </c>
      <c r="Q130" s="5">
        <f t="shared" si="14"/>
        <v>150702</v>
      </c>
      <c r="R130" s="6"/>
    </row>
    <row r="131" spans="1:18" x14ac:dyDescent="0.2">
      <c r="A131" s="18"/>
      <c r="B131" s="67" t="s">
        <v>164</v>
      </c>
      <c r="C131" s="41"/>
      <c r="D131" s="49">
        <f>IFERROR(VLOOKUP(B131,'[1]MENSUAL 01-2025'!A:J,10,0),0)</f>
        <v>-20401797</v>
      </c>
      <c r="E131" s="49">
        <f>IFERROR(VLOOKUP('[1]EEFF GESTIÓN S.R'!B131,'[1]MENSUAL 02-2025'!A:J,10,0),0)</f>
        <v>-2039346</v>
      </c>
      <c r="F131" s="31">
        <f>IFERROR(VLOOKUP(B131,'[1]MENSUAL 03-2025'!A:J,10,0),0)</f>
        <v>-10429238</v>
      </c>
      <c r="G131" s="49">
        <f>IFERROR(VLOOKUP(B131,'[1]MENSUAL 04-2025'!A:J,10,0),0)</f>
        <v>-5868912</v>
      </c>
      <c r="H131" s="49">
        <f>IFERROR(VLOOKUP(B131,'[1]MENSUAL 05-2025'!A:J,10,0),0)</f>
        <v>-10005605</v>
      </c>
      <c r="I131" s="49">
        <f>IFERROR(VLOOKUP(B131,'[1]MENSUAL 06-2025'!A:J,10,0),0)</f>
        <v>-3655903</v>
      </c>
      <c r="J131" s="76">
        <f>IFERROR(VLOOKUP(B131,'[1]MENSUAL 07-2025'!A:J,10,0),0)</f>
        <v>0</v>
      </c>
      <c r="K131" s="28">
        <f>IFERROR(VLOOKUP(B131,'[1]MENSUAL 08-2025 '!A:J,10,0),0)</f>
        <v>0</v>
      </c>
      <c r="L131" s="91">
        <f>IFERROR(VLOOKUP(B131,'[1]MENSUAL 09-2025'!A:J,10,0),0)</f>
        <v>0</v>
      </c>
      <c r="M131" s="76">
        <f>IFERROR(VLOOKUP(B131,'[1]MENSUAL 10-2025'!A:J,10,0),0)</f>
        <v>0</v>
      </c>
      <c r="N131" s="48">
        <f>IFERROR(VLOOKUP(B131,'[1]MENSUAL 11-2025'!A:J,10,0),0)</f>
        <v>0</v>
      </c>
      <c r="O131" s="30">
        <f>IFERROR(VLOOKUP(B131,'[1]MENSUAL 12-2025'!A:J,10,0),0)</f>
        <v>0</v>
      </c>
      <c r="P131" s="49">
        <f>SUM(D131:O131)</f>
        <v>-52400801</v>
      </c>
      <c r="Q131" s="5">
        <f t="shared" si="14"/>
        <v>0</v>
      </c>
      <c r="R131" s="6"/>
    </row>
    <row r="132" spans="1:18" x14ac:dyDescent="0.2">
      <c r="A132" s="18"/>
      <c r="B132" s="87" t="s">
        <v>165</v>
      </c>
      <c r="C132" s="41"/>
      <c r="D132" s="84">
        <f>IFERROR(VLOOKUP(B132,'[1]MENSUAL 01-2025'!A:J,10,0),0)</f>
        <v>0</v>
      </c>
      <c r="E132" s="84">
        <f>IFERROR(VLOOKUP('[1]EEFF GESTIÓN S.R'!B132,'[1]MENSUAL 02-2025'!A:J,10,0),0)</f>
        <v>0</v>
      </c>
      <c r="F132" s="92">
        <f>IFERROR(VLOOKUP(B132,'[1]MENSUAL 03-2025'!A:J,10,0),0)</f>
        <v>0</v>
      </c>
      <c r="G132" s="84">
        <f>IFERROR(VLOOKUP(B132,'[1]MENSUAL 04-2025'!A:J,10,0),0)</f>
        <v>0</v>
      </c>
      <c r="H132" s="84">
        <f>IFERROR(VLOOKUP(B132,'[1]MENSUAL 05-2025'!A:J,10,0),0)</f>
        <v>0</v>
      </c>
      <c r="I132" s="84">
        <f>IFERROR(VLOOKUP(B132,'[1]MENSUAL 06-2025'!A:J,10,0),0)</f>
        <v>0</v>
      </c>
      <c r="J132" s="77">
        <f>IFERROR(VLOOKUP(B132,'[1]MENSUAL 07-2025'!A:J,10,0),0)</f>
        <v>0</v>
      </c>
      <c r="K132" s="69">
        <f>IFERROR(VLOOKUP(B132,'[1]MENSUAL 08-2025 '!A:J,10,0),0)</f>
        <v>0</v>
      </c>
      <c r="L132" s="93">
        <f>IFERROR(VLOOKUP(B132,'[1]MENSUAL 09-2025'!A:J,10,0),0)</f>
        <v>0</v>
      </c>
      <c r="M132" s="77">
        <f>IFERROR(VLOOKUP(B132,'[1]MENSUAL 10-2025'!A:J,10,0),0)</f>
        <v>-1000000</v>
      </c>
      <c r="N132" s="49">
        <f>IFERROR(VLOOKUP(B132,'[1]MENSUAL 11-2025'!A:J,10,0),0)</f>
        <v>0</v>
      </c>
      <c r="O132" s="30">
        <f>IFERROR(VLOOKUP(B132,'[1]MENSUAL 12-2025'!A:J,10,0),0)</f>
        <v>0</v>
      </c>
      <c r="P132" s="84">
        <f t="shared" ref="P132" si="25">SUM(D132:O132)</f>
        <v>-1000000</v>
      </c>
      <c r="Q132" s="5">
        <f t="shared" si="14"/>
        <v>0</v>
      </c>
      <c r="R132" s="6"/>
    </row>
    <row r="133" spans="1:18" x14ac:dyDescent="0.2">
      <c r="A133" s="18"/>
      <c r="B133" s="67" t="s">
        <v>166</v>
      </c>
      <c r="C133" s="94"/>
      <c r="D133" s="49">
        <f>IFERROR(VLOOKUP(B133,'[1]MENSUAL 01-2025'!A:J,10,0),0)</f>
        <v>0</v>
      </c>
      <c r="E133" s="49">
        <f>IFERROR(VLOOKUP('[1]EEFF GESTIÓN S.R'!B133,'[1]MENSUAL 02-2025'!A:J,10,0),0)</f>
        <v>0</v>
      </c>
      <c r="F133" s="95">
        <f>IFERROR(VLOOKUP(B133,'[1]MENSUAL 03-2025'!A:J,10,0),0)</f>
        <v>0</v>
      </c>
      <c r="G133" s="96">
        <f>IFERROR(VLOOKUP(B133,'[1]MENSUAL 04-2025'!A:J,10,0),0)</f>
        <v>0</v>
      </c>
      <c r="H133" s="96">
        <f>IFERROR(VLOOKUP(B133,'[1]MENSUAL 05-2025'!A:J,10,0),0)</f>
        <v>0</v>
      </c>
      <c r="I133" s="96">
        <f>IFERROR(VLOOKUP(B133,'[1]MENSUAL 06-2025'!A:J,10,0),0)</f>
        <v>0</v>
      </c>
      <c r="J133" s="97">
        <f>IFERROR(VLOOKUP(B133,'[1]MENSUAL 07-2025'!A:J,10,0),0)</f>
        <v>0</v>
      </c>
      <c r="K133" s="28">
        <f>IFERROR(VLOOKUP(B133,'[1]MENSUAL 08-2025 '!A:J,10,0),0)</f>
        <v>0</v>
      </c>
      <c r="L133" s="91">
        <f>IFERROR(VLOOKUP(B133,'[1]MENSUAL 09-2025'!A:J,10,0),0)</f>
        <v>-467836</v>
      </c>
      <c r="M133" s="76">
        <f>IFERROR(VLOOKUP(B133,'[1]MENSUAL 10-2025'!A:J,10,0),0)</f>
        <v>-16890587</v>
      </c>
      <c r="N133" s="48">
        <f>IFERROR(VLOOKUP(B133,'[1]MENSUAL 11-2025'!A:J,10,0),0)</f>
        <v>-17001032</v>
      </c>
      <c r="O133" s="30">
        <f>IFERROR(VLOOKUP(B133,'[1]MENSUAL 12-2025'!A:J,10,0),0)</f>
        <v>-3246912</v>
      </c>
      <c r="P133" s="98">
        <f>SUM(D133:O133)</f>
        <v>-37606367</v>
      </c>
      <c r="Q133" s="5">
        <f t="shared" si="14"/>
        <v>13754120</v>
      </c>
      <c r="R133" s="6"/>
    </row>
    <row r="134" spans="1:18" x14ac:dyDescent="0.2">
      <c r="A134" s="18" t="s">
        <v>167</v>
      </c>
      <c r="B134" s="99" t="s">
        <v>168</v>
      </c>
      <c r="C134" s="41"/>
      <c r="D134" s="65">
        <f>IFERROR(VLOOKUP(B134,'[1]MENSUAL 01-2025'!A:J,10,0),0)</f>
        <v>0</v>
      </c>
      <c r="E134" s="65">
        <f>IFERROR(VLOOKUP('[1]EEFF GESTIÓN S.R'!B134,'[1]MENSUAL 02-2025'!A:J,10,0),0)</f>
        <v>0</v>
      </c>
      <c r="F134" s="89">
        <f>IFERROR(VLOOKUP(B134,'[1]MENSUAL 03-2025'!A:J,10,0),0)</f>
        <v>0</v>
      </c>
      <c r="G134" s="65">
        <f>IFERROR(VLOOKUP(B134,'[1]MENSUAL 04-2025'!A:J,10,0),0)</f>
        <v>-149825310</v>
      </c>
      <c r="H134" s="65">
        <f>IFERROR(VLOOKUP(B134,'[1]MENSUAL 05-2025'!A:J,10,0),0)</f>
        <v>0</v>
      </c>
      <c r="I134" s="65">
        <f>IFERROR(VLOOKUP(B134,'[1]MENSUAL 06-2025'!A:J,10,0),0)</f>
        <v>-75197158</v>
      </c>
      <c r="J134" s="75">
        <f>IFERROR(VLOOKUP(B134,'[1]MENSUAL 07-2025'!A:J,10,0),0)</f>
        <v>-37718765</v>
      </c>
      <c r="K134" s="61">
        <f>IFERROR(VLOOKUP(B134,'[1]MENSUAL 08-2025 '!A:J,10,0),0)</f>
        <v>-37597332</v>
      </c>
      <c r="L134" s="90">
        <f>IFERROR(VLOOKUP(B134,'[1]MENSUAL 09-2025'!A:J,10,0),0)</f>
        <v>-36503476</v>
      </c>
      <c r="M134" s="75">
        <f>IFERROR(VLOOKUP(B134,'[1]MENSUAL 10-2025'!A:J,10,0),0)</f>
        <v>-36336669</v>
      </c>
      <c r="N134" s="48">
        <f>IFERROR(VLOOKUP(B134,'[1]MENSUAL 11-2025'!A:J,10,0),0)</f>
        <v>-212834435</v>
      </c>
      <c r="O134" s="30">
        <f>IFERROR(VLOOKUP(B134,'[1]MENSUAL 12-2025'!A:J,10,0),0)</f>
        <v>-12377918</v>
      </c>
      <c r="P134" s="65">
        <f>SUM(D134:O134)</f>
        <v>-598391063</v>
      </c>
      <c r="Q134" s="5">
        <f t="shared" si="14"/>
        <v>200456517</v>
      </c>
      <c r="R134" s="6"/>
    </row>
    <row r="135" spans="1:18" ht="12.75" thickBot="1" x14ac:dyDescent="0.25">
      <c r="A135" s="18"/>
      <c r="B135" s="100" t="s">
        <v>169</v>
      </c>
      <c r="C135" s="41"/>
      <c r="D135" s="52">
        <f>IFERROR(VLOOKUP(B135,'[1]MENSUAL 01-2025'!A:J,10,0),0)</f>
        <v>0</v>
      </c>
      <c r="E135" s="52">
        <f>IFERROR(VLOOKUP('[1]EEFF GESTIÓN S.R'!B135,'[1]MENSUAL 02-2025'!A:J,10,0),0)</f>
        <v>-1381572</v>
      </c>
      <c r="F135" s="39">
        <f>IFERROR(VLOOKUP(B135,'[1]MENSUAL 03-2025'!A:J,10,0),0)</f>
        <v>-7492340</v>
      </c>
      <c r="G135" s="52">
        <f>IFERROR(VLOOKUP(B135,'[1]MENSUAL 04-2025'!A:J,10,0),0)</f>
        <v>0</v>
      </c>
      <c r="H135" s="52">
        <f>IFERROR(VLOOKUP(B135,'[1]MENSUAL 05-2025'!A:J,10,0),0)</f>
        <v>0</v>
      </c>
      <c r="I135" s="101">
        <f>IFERROR(VLOOKUP(B135,'[1]MENSUAL 06-2025'!A:J,10,0),0)</f>
        <v>-269928</v>
      </c>
      <c r="J135" s="101">
        <f>IFERROR(VLOOKUP(B135,'[1]MENSUAL 07-2025'!A:J,10,0),0)</f>
        <v>-3759838</v>
      </c>
      <c r="K135" s="36">
        <f>IFERROR(VLOOKUP(B135,'[1]MENSUAL 08-2025 '!A:J,10,0),0)</f>
        <v>0</v>
      </c>
      <c r="L135" s="102">
        <f>IFERROR(VLOOKUP(B135,'[1]MENSUAL 09-2025'!A:J,10,0),0)</f>
        <v>0</v>
      </c>
      <c r="M135" s="103">
        <f>IFERROR(VLOOKUP(B135,'[1]MENSUAL 10-2025'!A:J,10,0),0)</f>
        <v>0</v>
      </c>
      <c r="N135" s="52">
        <f>IFERROR(VLOOKUP(B135,'[1]MENSUAL 11-2025'!A:J,10,0),0)</f>
        <v>0</v>
      </c>
      <c r="O135" s="38">
        <f>IFERROR(VLOOKUP(B135,'[1]MENSUAL 12-2025'!A:J,10,0),0)</f>
        <v>0</v>
      </c>
      <c r="P135" s="52">
        <f t="shared" si="24"/>
        <v>-12903678</v>
      </c>
      <c r="Q135" s="5">
        <f t="shared" si="14"/>
        <v>0</v>
      </c>
      <c r="R135" s="6"/>
    </row>
    <row r="136" spans="1:18" ht="12.75" thickBot="1" x14ac:dyDescent="0.25">
      <c r="A136" s="18"/>
      <c r="B136" s="104"/>
      <c r="C136" s="41"/>
      <c r="D136" s="2"/>
      <c r="E136" s="2"/>
      <c r="F136" s="2"/>
      <c r="G136" s="2"/>
      <c r="H136" s="2"/>
      <c r="I136" s="2"/>
      <c r="J136" s="105"/>
      <c r="K136" s="2"/>
      <c r="L136" s="105"/>
      <c r="M136" s="105"/>
      <c r="N136" s="105"/>
      <c r="O136" s="105"/>
      <c r="P136" s="105"/>
      <c r="Q136" s="5">
        <f t="shared" si="14"/>
        <v>0</v>
      </c>
      <c r="R136" s="6"/>
    </row>
    <row r="137" spans="1:18" ht="12.75" thickBot="1" x14ac:dyDescent="0.25">
      <c r="A137" s="18" t="s">
        <v>170</v>
      </c>
      <c r="B137" s="40" t="s">
        <v>171</v>
      </c>
      <c r="C137" s="41"/>
      <c r="D137" s="42">
        <f t="shared" ref="D137:P137" si="26">+D43+D53+D56+D62+D69+D94+D101+D103+D106+D111+D113+D117</f>
        <v>-676855557</v>
      </c>
      <c r="E137" s="42">
        <f t="shared" si="26"/>
        <v>-458366191</v>
      </c>
      <c r="F137" s="42">
        <f t="shared" si="26"/>
        <v>-826580905</v>
      </c>
      <c r="G137" s="42">
        <f t="shared" si="26"/>
        <v>-1117853370</v>
      </c>
      <c r="H137" s="42">
        <f t="shared" si="26"/>
        <v>-577348986</v>
      </c>
      <c r="I137" s="42">
        <f t="shared" si="26"/>
        <v>-1057039073</v>
      </c>
      <c r="J137" s="42">
        <f t="shared" si="26"/>
        <v>-741855528</v>
      </c>
      <c r="K137" s="42">
        <f t="shared" si="26"/>
        <v>-837120092</v>
      </c>
      <c r="L137" s="42">
        <f t="shared" si="26"/>
        <v>-1092637129</v>
      </c>
      <c r="M137" s="42">
        <f t="shared" si="26"/>
        <v>-652086036</v>
      </c>
      <c r="N137" s="42">
        <f t="shared" si="26"/>
        <v>-1754215564</v>
      </c>
      <c r="O137" s="42">
        <f t="shared" si="26"/>
        <v>-783779774</v>
      </c>
      <c r="P137" s="106">
        <f t="shared" si="26"/>
        <v>-10575738205</v>
      </c>
      <c r="Q137" s="5">
        <f t="shared" si="14"/>
        <v>970435790</v>
      </c>
      <c r="R137" s="6"/>
    </row>
    <row r="138" spans="1:18" ht="12.75" thickBot="1" x14ac:dyDescent="0.25">
      <c r="A138" s="18" t="s">
        <v>35</v>
      </c>
      <c r="B138" s="41"/>
      <c r="C138" s="41"/>
      <c r="D138" s="2"/>
      <c r="E138" s="2"/>
      <c r="F138" s="2"/>
      <c r="G138" s="2"/>
      <c r="H138" s="2"/>
      <c r="I138" s="2"/>
      <c r="J138" s="105"/>
      <c r="K138" s="2"/>
      <c r="L138" s="105"/>
      <c r="M138" s="105"/>
      <c r="N138" s="105"/>
      <c r="O138" s="105"/>
      <c r="P138" s="3">
        <f>SUM(D138:O138)</f>
        <v>0</v>
      </c>
      <c r="Q138" s="5">
        <f t="shared" si="14"/>
        <v>0</v>
      </c>
      <c r="R138" s="6"/>
    </row>
    <row r="139" spans="1:18" ht="12.75" thickBot="1" x14ac:dyDescent="0.25">
      <c r="A139" s="18" t="s">
        <v>172</v>
      </c>
      <c r="B139" s="40" t="s">
        <v>173</v>
      </c>
      <c r="C139" s="41"/>
      <c r="D139" s="42">
        <f t="shared" ref="D139:P139" si="27">+D137+D39</f>
        <v>477042875</v>
      </c>
      <c r="E139" s="42">
        <f t="shared" si="27"/>
        <v>695325023</v>
      </c>
      <c r="F139" s="42">
        <f t="shared" si="27"/>
        <v>317523122</v>
      </c>
      <c r="G139" s="42">
        <f t="shared" si="27"/>
        <v>333196828</v>
      </c>
      <c r="H139" s="42">
        <f t="shared" si="27"/>
        <v>542526170</v>
      </c>
      <c r="I139" s="42">
        <f t="shared" si="27"/>
        <v>96855471</v>
      </c>
      <c r="J139" s="42">
        <f t="shared" si="27"/>
        <v>414136744</v>
      </c>
      <c r="K139" s="42">
        <f t="shared" si="27"/>
        <v>378219766</v>
      </c>
      <c r="L139" s="42">
        <f t="shared" si="27"/>
        <v>50622806</v>
      </c>
      <c r="M139" s="42">
        <f t="shared" si="27"/>
        <v>486720216</v>
      </c>
      <c r="N139" s="42">
        <f t="shared" si="27"/>
        <v>-627730662</v>
      </c>
      <c r="O139" s="42">
        <f t="shared" si="27"/>
        <v>419156690</v>
      </c>
      <c r="P139" s="106">
        <f t="shared" si="27"/>
        <v>3583595049</v>
      </c>
      <c r="Q139" s="5">
        <f t="shared" si="14"/>
        <v>1046887352</v>
      </c>
      <c r="R139" s="6"/>
    </row>
    <row r="140" spans="1:18" ht="12.75" thickBot="1" x14ac:dyDescent="0.25">
      <c r="A140" s="18" t="s">
        <v>35</v>
      </c>
      <c r="C140" s="41"/>
      <c r="D140" s="2"/>
      <c r="E140" s="2"/>
      <c r="F140" s="2"/>
      <c r="G140" s="2"/>
      <c r="H140" s="2"/>
      <c r="I140" s="2"/>
      <c r="J140" s="105"/>
      <c r="K140" s="2"/>
      <c r="L140" s="105"/>
      <c r="M140" s="105"/>
      <c r="N140" s="105"/>
      <c r="O140" s="105"/>
      <c r="P140" s="105"/>
      <c r="Q140" s="5">
        <f t="shared" ref="Q140:Q141" si="28">+O140-N140</f>
        <v>0</v>
      </c>
      <c r="R140" s="6"/>
    </row>
    <row r="141" spans="1:18" ht="12.75" thickBot="1" x14ac:dyDescent="0.25">
      <c r="B141" s="107" t="s">
        <v>174</v>
      </c>
      <c r="D141" s="108">
        <f>+D139</f>
        <v>477042875</v>
      </c>
      <c r="E141" s="108">
        <f t="shared" ref="E141:O141" si="29">+E139</f>
        <v>695325023</v>
      </c>
      <c r="F141" s="108">
        <f t="shared" si="29"/>
        <v>317523122</v>
      </c>
      <c r="G141" s="109">
        <f>+G139</f>
        <v>333196828</v>
      </c>
      <c r="H141" s="108">
        <f t="shared" si="29"/>
        <v>542526170</v>
      </c>
      <c r="I141" s="109">
        <f>+I139</f>
        <v>96855471</v>
      </c>
      <c r="J141" s="108">
        <f t="shared" si="29"/>
        <v>414136744</v>
      </c>
      <c r="K141" s="108">
        <f t="shared" si="29"/>
        <v>378219766</v>
      </c>
      <c r="L141" s="108">
        <f t="shared" si="29"/>
        <v>50622806</v>
      </c>
      <c r="M141" s="108">
        <f t="shared" si="29"/>
        <v>486720216</v>
      </c>
      <c r="N141" s="108">
        <f t="shared" si="29"/>
        <v>-627730662</v>
      </c>
      <c r="O141" s="108">
        <f t="shared" si="29"/>
        <v>419156690</v>
      </c>
      <c r="P141" s="108">
        <f>P139</f>
        <v>3583595049</v>
      </c>
      <c r="Q141" s="5">
        <f t="shared" si="28"/>
        <v>1046887352</v>
      </c>
    </row>
    <row r="142" spans="1:18" x14ac:dyDescent="0.2"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Q142" s="5">
        <f>+O142-N142</f>
        <v>0</v>
      </c>
    </row>
    <row r="143" spans="1:18" s="116" customFormat="1" x14ac:dyDescent="0.2">
      <c r="A143" s="110"/>
      <c r="B143" s="111"/>
      <c r="C143" s="112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4"/>
      <c r="P143" s="114"/>
      <c r="Q143" s="5">
        <f t="shared" ref="Q143:Q166" si="30">+O143-N143</f>
        <v>0</v>
      </c>
      <c r="R143" s="115"/>
    </row>
    <row r="144" spans="1:18" s="116" customFormat="1" x14ac:dyDescent="0.2">
      <c r="A144" s="110"/>
      <c r="B144" s="111"/>
      <c r="C144" s="112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4"/>
      <c r="P144" s="114"/>
      <c r="Q144" s="5">
        <f t="shared" si="30"/>
        <v>0</v>
      </c>
      <c r="R144" s="115"/>
    </row>
    <row r="145" spans="1:18" s="116" customFormat="1" x14ac:dyDescent="0.2">
      <c r="A145" s="110"/>
      <c r="B145" s="111"/>
      <c r="C145" s="112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4"/>
      <c r="P145" s="114"/>
      <c r="Q145" s="5">
        <f t="shared" si="30"/>
        <v>0</v>
      </c>
      <c r="R145" s="115"/>
    </row>
    <row r="146" spans="1:18" ht="12.75" thickBot="1" x14ac:dyDescent="0.25">
      <c r="A146" s="18"/>
      <c r="B146" s="9"/>
      <c r="C146" s="41"/>
      <c r="D146" s="2"/>
      <c r="E146" s="2"/>
      <c r="F146" s="2"/>
      <c r="G146" s="2"/>
      <c r="H146" s="2"/>
      <c r="I146" s="2"/>
      <c r="J146" s="105"/>
      <c r="K146" s="2"/>
      <c r="L146" s="105"/>
      <c r="M146" s="105"/>
      <c r="N146" s="105"/>
      <c r="O146" s="105"/>
      <c r="P146" s="105"/>
      <c r="Q146" s="5">
        <f t="shared" si="30"/>
        <v>0</v>
      </c>
      <c r="R146" s="6"/>
    </row>
    <row r="147" spans="1:18" ht="12.75" thickBot="1" x14ac:dyDescent="0.25">
      <c r="A147" s="18"/>
      <c r="B147" s="117" t="s">
        <v>175</v>
      </c>
      <c r="C147" s="41"/>
      <c r="D147" s="118">
        <f t="shared" ref="D147:P147" si="31">SUM(D148:D157)</f>
        <v>-32939925</v>
      </c>
      <c r="E147" s="118">
        <f t="shared" si="31"/>
        <v>-65063709</v>
      </c>
      <c r="F147" s="118">
        <f t="shared" si="31"/>
        <v>-56023399</v>
      </c>
      <c r="G147" s="118">
        <f t="shared" si="31"/>
        <v>-69948009</v>
      </c>
      <c r="H147" s="118">
        <f t="shared" si="31"/>
        <v>79552454</v>
      </c>
      <c r="I147" s="118">
        <f t="shared" si="31"/>
        <v>-161822123</v>
      </c>
      <c r="J147" s="118">
        <f t="shared" si="31"/>
        <v>-159677317</v>
      </c>
      <c r="K147" s="118">
        <f t="shared" si="31"/>
        <v>-101198387</v>
      </c>
      <c r="L147" s="118">
        <f t="shared" si="31"/>
        <v>-19017155</v>
      </c>
      <c r="M147" s="118">
        <f t="shared" si="31"/>
        <v>11225682</v>
      </c>
      <c r="N147" s="118">
        <f t="shared" si="31"/>
        <v>806684</v>
      </c>
      <c r="O147" s="118">
        <f t="shared" si="31"/>
        <v>28534881</v>
      </c>
      <c r="P147" s="119">
        <f t="shared" si="31"/>
        <v>-545570323</v>
      </c>
      <c r="Q147" s="5">
        <f t="shared" si="30"/>
        <v>27728197</v>
      </c>
      <c r="R147" s="6"/>
    </row>
    <row r="148" spans="1:18" x14ac:dyDescent="0.2">
      <c r="A148" s="18" t="s">
        <v>35</v>
      </c>
      <c r="B148" s="67" t="s">
        <v>176</v>
      </c>
      <c r="C148" s="41"/>
      <c r="D148" s="47">
        <f>IFERROR(VLOOKUP(B148,'[1]MENSUAL 01-2025'!A:J,10,0),0)</f>
        <v>-73231300</v>
      </c>
      <c r="E148" s="47">
        <f>IFERROR(VLOOKUP('[1]EEFF GESTIÓN S.R'!B148,'[1]MENSUAL 02-2025'!A:J,10,0),0)</f>
        <v>-72463197</v>
      </c>
      <c r="F148" s="47">
        <f>IFERROR(VLOOKUP(B148,'[1]MENSUAL 03-2025'!A:J,10,0),0)</f>
        <v>-72015571</v>
      </c>
      <c r="G148" s="47">
        <f>IFERROR(VLOOKUP(B148,'[1]MENSUAL 04-2025'!A:J,10,0),0)</f>
        <v>-71396066</v>
      </c>
      <c r="H148" s="47">
        <f>IFERROR(VLOOKUP(B148,'[1]MENSUAL 05-2025'!A:J,10,0),0)</f>
        <v>-70476725</v>
      </c>
      <c r="I148" s="47">
        <f>IFERROR(VLOOKUP(B148,'[1]MENSUAL 06-2025'!A:J,10,0),0)</f>
        <v>-69721977</v>
      </c>
      <c r="J148" s="47">
        <f>IFERROR(VLOOKUP(B148,'[1]MENSUAL 07-2025'!A:J,10,0),0)</f>
        <v>-68564404</v>
      </c>
      <c r="K148" s="21">
        <f>IFERROR(VLOOKUP(B148,'[1]MENSUAL 08-2025 '!A:J,10,0),0)</f>
        <v>-67846315</v>
      </c>
      <c r="L148" s="120">
        <f>IFERROR(VLOOKUP(B148,'[1]MENSUAL 09-2025'!A:J,10,0),0)</f>
        <v>-67363831</v>
      </c>
      <c r="M148" s="120">
        <f>IFERROR(VLOOKUP(B148,'[1]MENSUAL 10-2025'!A:J,10,0),0)</f>
        <v>-75816467</v>
      </c>
      <c r="N148" s="121">
        <f>IFERROR(VLOOKUP(B148,'[1]MENSUAL 11-2025'!A:J,10,0),0)</f>
        <v>-66074590</v>
      </c>
      <c r="O148" s="23">
        <f>IFERROR(VLOOKUP(B148,'[1]MENSUAL 12-2025'!A:J,10,0),0)</f>
        <v>-88653735</v>
      </c>
      <c r="P148" s="47">
        <f t="shared" ref="P148:P157" si="32">SUM(D148:O148)</f>
        <v>-863624178</v>
      </c>
      <c r="Q148" s="5">
        <f t="shared" si="30"/>
        <v>-22579145</v>
      </c>
      <c r="R148" s="6"/>
    </row>
    <row r="149" spans="1:18" x14ac:dyDescent="0.2">
      <c r="A149" s="18" t="s">
        <v>147</v>
      </c>
      <c r="B149" s="67" t="s">
        <v>177</v>
      </c>
      <c r="C149" s="41"/>
      <c r="D149" s="49">
        <f>IFERROR(VLOOKUP(B149,'[1]MENSUAL 01-2025'!A:J,10,0),0)</f>
        <v>-540065</v>
      </c>
      <c r="E149" s="49">
        <f>IFERROR(VLOOKUP('[1]EEFF GESTIÓN S.R'!B149,'[1]MENSUAL 02-2025'!A:J,10,0),0)</f>
        <v>-2048306</v>
      </c>
      <c r="F149" s="49">
        <f>IFERROR(VLOOKUP(B149,'[1]MENSUAL 03-2025'!A:J,10,0),0)</f>
        <v>-1023429</v>
      </c>
      <c r="G149" s="49">
        <f>IFERROR(VLOOKUP(B149,'[1]MENSUAL 04-2025'!A:J,10,0),0)</f>
        <v>-2433549</v>
      </c>
      <c r="H149" s="49">
        <f>IFERROR(VLOOKUP(B149,'[1]MENSUAL 05-2025'!A:J,10,0),0)</f>
        <v>-3798793</v>
      </c>
      <c r="I149" s="49">
        <f>IFERROR(VLOOKUP(B149,'[1]MENSUAL 06-2025'!A:J,10,0),0)</f>
        <v>-3973005</v>
      </c>
      <c r="J149" s="49">
        <f>IFERROR(VLOOKUP(B149,'[1]MENSUAL 07-2025'!A:J,10,0),0)</f>
        <v>-1633224</v>
      </c>
      <c r="K149" s="28">
        <f>IFERROR(VLOOKUP(B149,'[1]MENSUAL 08-2025 '!A:J,10,0),0)</f>
        <v>-10760562</v>
      </c>
      <c r="L149" s="76">
        <f>IFERROR(VLOOKUP(B149,'[1]MENSUAL 09-2025'!A:J,10,0),0)</f>
        <v>-1333226</v>
      </c>
      <c r="M149" s="76">
        <f>IFERROR(VLOOKUP(B149,'[1]MENSUAL 10-2025'!A:J,10,0),0)</f>
        <v>-1035115</v>
      </c>
      <c r="N149" s="48">
        <f>IFERROR(VLOOKUP(B149,'[1]MENSUAL 11-2025'!A:J,10,0),0)</f>
        <v>-3153325</v>
      </c>
      <c r="O149" s="30">
        <f>IFERROR(VLOOKUP(B149,'[1]MENSUAL 12-2025'!A:J,10,0),0)</f>
        <v>-3666753</v>
      </c>
      <c r="P149" s="49">
        <f t="shared" si="32"/>
        <v>-35399352</v>
      </c>
      <c r="Q149" s="5">
        <f t="shared" si="30"/>
        <v>-513428</v>
      </c>
      <c r="R149" s="6"/>
    </row>
    <row r="150" spans="1:18" x14ac:dyDescent="0.2">
      <c r="A150" s="18" t="s">
        <v>178</v>
      </c>
      <c r="B150" s="67" t="s">
        <v>179</v>
      </c>
      <c r="C150" s="41"/>
      <c r="D150" s="49">
        <f>IFERROR(VLOOKUP(B150,'[1]MENSUAL 01-2025'!A:J,10,0),0)</f>
        <v>-581476</v>
      </c>
      <c r="E150" s="49">
        <f>IFERROR(VLOOKUP('[1]EEFF GESTIÓN S.R'!B150,'[1]MENSUAL 02-2025'!A:J,10,0),0)</f>
        <v>-615951</v>
      </c>
      <c r="F150" s="49">
        <f>IFERROR(VLOOKUP(B150,'[1]MENSUAL 03-2025'!A:J,10,0),0)</f>
        <v>-511872</v>
      </c>
      <c r="G150" s="49">
        <f>IFERROR(VLOOKUP(B150,'[1]MENSUAL 04-2025'!A:J,10,0),0)</f>
        <v>-1130899</v>
      </c>
      <c r="H150" s="49">
        <f>IFERROR(VLOOKUP(B150,'[1]MENSUAL 05-2025'!A:J,10,0),0)</f>
        <v>-414910</v>
      </c>
      <c r="I150" s="49">
        <f>IFERROR(VLOOKUP(B150,'[1]MENSUAL 06-2025'!A:J,10,0),0)</f>
        <v>-660992</v>
      </c>
      <c r="J150" s="49">
        <f>IFERROR(VLOOKUP(B150,'[1]MENSUAL 07-2025'!A:J,10,0),0)</f>
        <v>-1561556</v>
      </c>
      <c r="K150" s="28">
        <f>IFERROR(VLOOKUP(B150,'[1]MENSUAL 08-2025 '!A:J,10,0),0)</f>
        <v>-495384</v>
      </c>
      <c r="L150" s="76">
        <f>IFERROR(VLOOKUP(B150,'[1]MENSUAL 09-2025'!A:J,10,0),0)</f>
        <v>-533498</v>
      </c>
      <c r="M150" s="76">
        <f>IFERROR(VLOOKUP(B150,'[1]MENSUAL 10-2025'!A:J,10,0),0)</f>
        <v>-17858</v>
      </c>
      <c r="N150" s="48">
        <f>IFERROR(VLOOKUP(B150,'[1]MENSUAL 11-2025'!A:J,10,0),0)</f>
        <v>-724696</v>
      </c>
      <c r="O150" s="30">
        <f>IFERROR(VLOOKUP(B150,'[1]MENSUAL 12-2025'!A:J,10,0),0)</f>
        <v>0</v>
      </c>
      <c r="P150" s="49">
        <f t="shared" si="32"/>
        <v>-7249092</v>
      </c>
      <c r="Q150" s="5">
        <f t="shared" si="30"/>
        <v>724696</v>
      </c>
      <c r="R150" s="6"/>
    </row>
    <row r="151" spans="1:18" x14ac:dyDescent="0.2">
      <c r="A151" s="18"/>
      <c r="B151" s="67" t="s">
        <v>180</v>
      </c>
      <c r="C151" s="41"/>
      <c r="D151" s="49"/>
      <c r="E151" s="49"/>
      <c r="F151" s="49"/>
      <c r="G151" s="49"/>
      <c r="H151" s="49"/>
      <c r="I151" s="49"/>
      <c r="J151" s="49"/>
      <c r="K151" s="48">
        <v>0</v>
      </c>
      <c r="L151" s="48">
        <v>0</v>
      </c>
      <c r="M151" s="48">
        <v>0</v>
      </c>
      <c r="N151" s="48">
        <f>IFERROR(VLOOKUP(B151,'[1]MENSUAL 11-2025'!A:J,10,0),0)</f>
        <v>-375991</v>
      </c>
      <c r="O151" s="30">
        <f>IFERROR(VLOOKUP(B151,'[1]MENSUAL 12-2025'!A:J,10,0),0)</f>
        <v>0</v>
      </c>
      <c r="P151" s="49">
        <f t="shared" si="32"/>
        <v>-375991</v>
      </c>
      <c r="Q151" s="5">
        <f t="shared" si="30"/>
        <v>375991</v>
      </c>
      <c r="R151" s="6"/>
    </row>
    <row r="152" spans="1:18" x14ac:dyDescent="0.2">
      <c r="A152" s="18" t="s">
        <v>181</v>
      </c>
      <c r="B152" s="67" t="s">
        <v>182</v>
      </c>
      <c r="C152" s="41"/>
      <c r="D152" s="49">
        <f>IFERROR(VLOOKUP(B152,'[1]MENSUAL 01-2025'!A:J,10,0),0)</f>
        <v>0</v>
      </c>
      <c r="E152" s="49">
        <f>IFERROR(VLOOKUP('[1]EEFF GESTIÓN S.R'!B152,'[1]MENSUAL 02-2025'!A:J,10,0),0)</f>
        <v>-11147327</v>
      </c>
      <c r="F152" s="49">
        <f>IFERROR(VLOOKUP(B152,'[1]MENSUAL 03-2025'!A:J,10,0),0)</f>
        <v>-3288344</v>
      </c>
      <c r="G152" s="49">
        <f>IFERROR(VLOOKUP(B152,'[1]MENSUAL 04-2025'!A:J,10,0),0)</f>
        <v>-67594834</v>
      </c>
      <c r="H152" s="49">
        <f>IFERROR(VLOOKUP(B152,'[1]MENSUAL 05-2025'!A:J,10,0),0)</f>
        <v>0</v>
      </c>
      <c r="I152" s="49">
        <f>IFERROR(VLOOKUP(B152,'[1]MENSUAL 06-2025'!A:J,10,0),0)</f>
        <v>-52031171</v>
      </c>
      <c r="J152" s="49">
        <f>IFERROR(VLOOKUP(B152,'[1]MENSUAL 07-2025'!A:J,10,0),0)</f>
        <v>-6919562</v>
      </c>
      <c r="K152" s="28">
        <f>IFERROR(VLOOKUP(B152,'[1]MENSUAL 08-2025 '!A:J,10,0),0)</f>
        <v>-4223762</v>
      </c>
      <c r="L152" s="76">
        <f>IFERROR(VLOOKUP(B152,'[1]MENSUAL 09-2025'!A:J,10,0),0)</f>
        <v>-16606411</v>
      </c>
      <c r="M152" s="76">
        <f>IFERROR(VLOOKUP(B152,'[1]MENSUAL 10-2025'!A:J,10,0),0)</f>
        <v>-12620326</v>
      </c>
      <c r="N152" s="48">
        <f>IFERROR(VLOOKUP(B152,'[1]MENSUAL 11-2025'!A:J,10,0),0)</f>
        <v>-26959119</v>
      </c>
      <c r="O152" s="30">
        <f>IFERROR(VLOOKUP(B152,'[1]MENSUAL 12-2025'!A:J,10,0),0)</f>
        <v>-11008543</v>
      </c>
      <c r="P152" s="49">
        <f t="shared" si="32"/>
        <v>-212399399</v>
      </c>
      <c r="Q152" s="5">
        <f t="shared" si="30"/>
        <v>15950576</v>
      </c>
      <c r="R152" s="6"/>
    </row>
    <row r="153" spans="1:18" x14ac:dyDescent="0.2">
      <c r="A153" s="18" t="s">
        <v>183</v>
      </c>
      <c r="B153" s="67" t="s">
        <v>184</v>
      </c>
      <c r="C153" s="41"/>
      <c r="D153" s="49">
        <f>IFERROR(VLOOKUP(B153,'[1]MENSUAL 01-2025'!A:J,10,0),0)</f>
        <v>0</v>
      </c>
      <c r="E153" s="49">
        <f>IFERROR(VLOOKUP('[1]EEFF GESTIÓN S.R'!B153,'[1]MENSUAL 02-2025'!A:J,10,0),0)</f>
        <v>0</v>
      </c>
      <c r="F153" s="49">
        <f>IFERROR(VLOOKUP(B153,'[1]MENSUAL 03-2025'!A:J,10,0),0)</f>
        <v>0</v>
      </c>
      <c r="G153" s="49">
        <f>IFERROR(VLOOKUP(B153,'[1]MENSUAL 04-2025'!A:J,10,0),0)</f>
        <v>0</v>
      </c>
      <c r="H153" s="49">
        <f>IFERROR(VLOOKUP(B153,'[1]MENSUAL 05-2025'!A:J,10,0),0)</f>
        <v>0</v>
      </c>
      <c r="I153" s="49">
        <f>IFERROR(VLOOKUP(B153,'[1]MENSUAL 06-2025'!A:J,10,0),0)</f>
        <v>0</v>
      </c>
      <c r="J153" s="49">
        <f>IFERROR(VLOOKUP(B153,'[1]MENSUAL 07-2025'!A:J,10,0),0)</f>
        <v>0</v>
      </c>
      <c r="K153" s="28">
        <f>IFERROR(VLOOKUP(B153,'[1]MENSUAL 08-2025 '!A:J,10,0),0)</f>
        <v>0</v>
      </c>
      <c r="L153" s="76">
        <f>IFERROR(VLOOKUP(B153,'[1]MENSUAL 09-2025'!A:J,10,0),0)</f>
        <v>0</v>
      </c>
      <c r="M153" s="76">
        <f>IFERROR(VLOOKUP(B153,'[1]MENSUAL 10-2025'!A:J,10,0),0)</f>
        <v>0</v>
      </c>
      <c r="N153" s="49">
        <f>IFERROR(VLOOKUP(B153,'[1]MENSUAL 11-2025'!A:J,10,0),0)</f>
        <v>0</v>
      </c>
      <c r="O153" s="30">
        <f>IFERROR(VLOOKUP(B153,'[1]MENSUAL 12-2025'!A:J,10,0),0)</f>
        <v>0</v>
      </c>
      <c r="P153" s="49">
        <f t="shared" si="32"/>
        <v>0</v>
      </c>
      <c r="Q153" s="5">
        <f t="shared" si="30"/>
        <v>0</v>
      </c>
      <c r="R153" s="6"/>
    </row>
    <row r="154" spans="1:18" x14ac:dyDescent="0.2">
      <c r="A154" s="18" t="s">
        <v>185</v>
      </c>
      <c r="B154" s="67" t="s">
        <v>186</v>
      </c>
      <c r="C154" s="41"/>
      <c r="D154" s="49">
        <f>IFERROR(VLOOKUP(B154,'[1]MENSUAL 01-2025'!A:J,10,0),0)</f>
        <v>41412916</v>
      </c>
      <c r="E154" s="49">
        <f>IFERROR(VLOOKUP('[1]EEFF GESTIÓN S.R'!B154,'[1]MENSUAL 02-2025'!A:J,10,0),0)</f>
        <v>25148572</v>
      </c>
      <c r="F154" s="49">
        <f>IFERROR(VLOOKUP(B154,'[1]MENSUAL 03-2025'!A:J,10,0),0)</f>
        <v>20815817</v>
      </c>
      <c r="G154" s="49">
        <f>IFERROR(VLOOKUP(B154,'[1]MENSUAL 04-2025'!A:J,10,0),0)</f>
        <v>72607339</v>
      </c>
      <c r="H154" s="49">
        <f>IFERROR(VLOOKUP(B154,'[1]MENSUAL 05-2025'!A:J,10,0),0)</f>
        <v>154242882</v>
      </c>
      <c r="I154" s="49">
        <f>IFERROR(VLOOKUP(B154,'[1]MENSUAL 06-2025'!A:J,10,0),0)</f>
        <v>-35434978</v>
      </c>
      <c r="J154" s="49">
        <f>IFERROR(VLOOKUP(B154,'[1]MENSUAL 07-2025'!A:J,10,0),0)</f>
        <v>-80932171</v>
      </c>
      <c r="K154" s="28">
        <f>IFERROR(VLOOKUP(B154,'[1]MENSUAL 08-2025 '!A:J,10,0),0)</f>
        <v>-17872364</v>
      </c>
      <c r="L154" s="76">
        <f>IFERROR(VLOOKUP(B154,'[1]MENSUAL 09-2025'!A:J,10,0),0)</f>
        <v>66819811</v>
      </c>
      <c r="M154" s="76">
        <f>IFERROR(VLOOKUP(B154,'[1]MENSUAL 10-2025'!A:J,10,0),0)</f>
        <v>100715448</v>
      </c>
      <c r="N154" s="48">
        <f>IFERROR(VLOOKUP(B154,'[1]MENSUAL 11-2025'!A:J,10,0),0)</f>
        <v>98094405</v>
      </c>
      <c r="O154" s="30">
        <f>IFERROR(VLOOKUP(B154,'[1]MENSUAL 12-2025'!A:J,10,0),0)</f>
        <v>131863912</v>
      </c>
      <c r="P154" s="49">
        <f t="shared" si="32"/>
        <v>577481589</v>
      </c>
      <c r="Q154" s="5">
        <f t="shared" si="30"/>
        <v>33769507</v>
      </c>
      <c r="R154" s="6"/>
    </row>
    <row r="155" spans="1:18" x14ac:dyDescent="0.2">
      <c r="A155" s="18" t="s">
        <v>187</v>
      </c>
      <c r="B155" s="67" t="s">
        <v>188</v>
      </c>
      <c r="C155" s="41"/>
      <c r="D155" s="49">
        <f>IFERROR(VLOOKUP(B155,'[1]MENSUAL 01-2025'!A:J,10,0),0)</f>
        <v>0</v>
      </c>
      <c r="E155" s="49">
        <f>IFERROR(VLOOKUP('[1]EEFF GESTIÓN S.R'!B155,'[1]MENSUAL 02-2025'!A:J,10,0),0)</f>
        <v>0</v>
      </c>
      <c r="F155" s="49">
        <f>IFERROR(VLOOKUP(B155,'[1]MENSUAL 03-2025'!A:J,10,0),0)</f>
        <v>0</v>
      </c>
      <c r="G155" s="49">
        <f>IFERROR(VLOOKUP(B155,'[1]MENSUAL 04-2025'!A:J,10,0),0)</f>
        <v>0</v>
      </c>
      <c r="H155" s="49">
        <f>IFERROR(VLOOKUP(B155,'[1]MENSUAL 05-2025'!A:J,10,0),0)</f>
        <v>0</v>
      </c>
      <c r="I155" s="49">
        <f>IFERROR(VLOOKUP(B155,'[1]MENSUAL 06-2025'!A:J,10,0),0)</f>
        <v>0</v>
      </c>
      <c r="J155" s="49">
        <f>IFERROR(VLOOKUP(B155,'[1]MENSUAL 07-2025'!A:J,10,0),0)</f>
        <v>0</v>
      </c>
      <c r="K155" s="28">
        <f>IFERROR(VLOOKUP(B155,'[1]MENSUAL 08-2025 '!A:J,10,0),0)</f>
        <v>0</v>
      </c>
      <c r="L155" s="76">
        <f>IFERROR(VLOOKUP(B155,'[1]MENSUAL 09-2025'!A:J,10,0),0)</f>
        <v>0</v>
      </c>
      <c r="M155" s="76">
        <f>IFERROR(VLOOKUP(B155,'[1]MENSUAL 10-2025'!A:J,10,0),0)</f>
        <v>0</v>
      </c>
      <c r="N155" s="49">
        <f>IFERROR(VLOOKUP(B155,'[1]MENSUAL 11-2025'!A:J,10,0),0)</f>
        <v>0</v>
      </c>
      <c r="O155" s="30">
        <f>IFERROR(VLOOKUP(B155,'[1]MENSUAL 12-2025'!A:J,10,0),0)</f>
        <v>0</v>
      </c>
      <c r="P155" s="49">
        <f t="shared" si="32"/>
        <v>0</v>
      </c>
      <c r="Q155" s="5">
        <f t="shared" si="30"/>
        <v>0</v>
      </c>
      <c r="R155" s="6"/>
    </row>
    <row r="156" spans="1:18" x14ac:dyDescent="0.2">
      <c r="A156" s="18" t="s">
        <v>189</v>
      </c>
      <c r="B156" s="67" t="s">
        <v>190</v>
      </c>
      <c r="C156" s="41"/>
      <c r="D156" s="49">
        <f>IFERROR(VLOOKUP(B156,'[1]MENSUAL 01-2025'!A:J,10,0),0)</f>
        <v>0</v>
      </c>
      <c r="E156" s="49">
        <f>IFERROR(VLOOKUP('[1]EEFF GESTIÓN S.R'!B156,'[1]MENSUAL 02-2025'!A:J,10,0),0)</f>
        <v>0</v>
      </c>
      <c r="F156" s="49">
        <f>IFERROR(VLOOKUP(B156,'[1]MENSUAL 03-2025'!A:J,10,0),0)</f>
        <v>0</v>
      </c>
      <c r="G156" s="49">
        <f>IFERROR(VLOOKUP(B156,'[1]MENSUAL 04-2025'!A:J,10,0),0)</f>
        <v>0</v>
      </c>
      <c r="H156" s="49">
        <f>IFERROR(VLOOKUP(B156,'[1]MENSUAL 05-2025'!A:J,10,0),0)</f>
        <v>0</v>
      </c>
      <c r="I156" s="49">
        <f>IFERROR(VLOOKUP(B156,'[1]MENSUAL 06-2025'!A:J,10,0),0)</f>
        <v>0</v>
      </c>
      <c r="J156" s="49">
        <f>IFERROR(VLOOKUP(B156,'[1]MENSUAL 07-2025'!A:J,10,0),0)</f>
        <v>0</v>
      </c>
      <c r="K156" s="28">
        <f>IFERROR(VLOOKUP(B156,'[1]MENSUAL 08-2025 '!A:J,10,0),0)</f>
        <v>0</v>
      </c>
      <c r="L156" s="76">
        <f>IFERROR(VLOOKUP(B156,'[1]MENSUAL 09-2025'!A:J,10,0),0)</f>
        <v>0</v>
      </c>
      <c r="M156" s="76">
        <f>IFERROR(VLOOKUP(B156,'[1]MENSUAL 10-2025'!A:J,10,0),0)</f>
        <v>0</v>
      </c>
      <c r="N156" s="49">
        <f>IFERROR(VLOOKUP(B156,'[1]MENSUAL 11-2025'!A:J,10,0),0)</f>
        <v>0</v>
      </c>
      <c r="O156" s="30">
        <f>IFERROR(VLOOKUP(B156,'[1]MENSUAL 12-2025'!A:J,10,0),0)</f>
        <v>0</v>
      </c>
      <c r="P156" s="49">
        <f t="shared" si="32"/>
        <v>0</v>
      </c>
      <c r="Q156" s="5">
        <f t="shared" si="30"/>
        <v>0</v>
      </c>
      <c r="R156" s="6"/>
    </row>
    <row r="157" spans="1:18" x14ac:dyDescent="0.2">
      <c r="A157" s="18" t="s">
        <v>191</v>
      </c>
      <c r="B157" s="67" t="s">
        <v>192</v>
      </c>
      <c r="C157" s="41"/>
      <c r="D157" s="49">
        <f>IFERROR(VLOOKUP(B157,'[1]MENSUAL 01-2025'!A:J,10,0),0)</f>
        <v>0</v>
      </c>
      <c r="E157" s="49">
        <f>IFERROR(VLOOKUP('[1]EEFF GESTIÓN S.R'!B157,'[1]MENSUAL 02-2025'!A:J,10,0),0)</f>
        <v>-3937500</v>
      </c>
      <c r="F157" s="49">
        <f>IFERROR(VLOOKUP(B157,'[1]MENSUAL 03-2025'!A:J,10,0),0)</f>
        <v>0</v>
      </c>
      <c r="G157" s="49">
        <f>IFERROR(VLOOKUP(B157,'[1]MENSUAL 04-2025'!A:J,10,0),0)</f>
        <v>0</v>
      </c>
      <c r="H157" s="49">
        <f>IFERROR(VLOOKUP(B157,'[1]MENSUAL 05-2025'!A:J,10,0),0)</f>
        <v>0</v>
      </c>
      <c r="I157" s="49">
        <f>IFERROR(VLOOKUP(B157,'[1]MENSUAL 06-2025'!A:J,10,0),0)</f>
        <v>0</v>
      </c>
      <c r="J157" s="49">
        <f>IFERROR(VLOOKUP(B157,'[1]MENSUAL 07-2025'!A:J,10,0),0)</f>
        <v>-66400</v>
      </c>
      <c r="K157" s="28">
        <f>IFERROR(VLOOKUP(B157,'[1]MENSUAL 08-2025 '!A:J,10,0),0)</f>
        <v>0</v>
      </c>
      <c r="L157" s="76">
        <f>IFERROR(VLOOKUP(B157,'[1]MENSUAL 09-2025'!A:J,10,0),0)</f>
        <v>0</v>
      </c>
      <c r="M157" s="76">
        <f>IFERROR(VLOOKUP(B157,'[1]MENSUAL 10-2025'!A:J,10,0),0)</f>
        <v>0</v>
      </c>
      <c r="N157" s="49">
        <f>IFERROR(VLOOKUP(B157,'[1]MENSUAL 11-2025'!A:J,10,0),0)</f>
        <v>0</v>
      </c>
      <c r="O157" s="30">
        <f>IFERROR(VLOOKUP(B157,'[1]MENSUAL 12-2025'!A:J,10,0),0)</f>
        <v>0</v>
      </c>
      <c r="P157" s="49">
        <f t="shared" si="32"/>
        <v>-4003900</v>
      </c>
      <c r="Q157" s="5">
        <f t="shared" si="30"/>
        <v>0</v>
      </c>
      <c r="R157" s="6"/>
    </row>
    <row r="158" spans="1:18" x14ac:dyDescent="0.2">
      <c r="Q158" s="5">
        <f t="shared" si="30"/>
        <v>0</v>
      </c>
    </row>
    <row r="159" spans="1:18" x14ac:dyDescent="0.2">
      <c r="A159" s="18"/>
      <c r="B159" s="122" t="s">
        <v>193</v>
      </c>
      <c r="C159" s="123"/>
      <c r="D159" s="124">
        <f>+[1]OBLIGACIONES!Q2</f>
        <v>-265200936.13997823</v>
      </c>
      <c r="E159" s="124">
        <f>+[1]OBLIGACIONES!Q3</f>
        <v>-266108219.77697161</v>
      </c>
      <c r="F159" s="124">
        <f>+[1]OBLIGACIONES!Q4</f>
        <v>-267512356.53253359</v>
      </c>
      <c r="G159" s="124">
        <f>+[1]OBLIGACIONES!Q5</f>
        <v>-262092191.80744815</v>
      </c>
      <c r="H159" s="124">
        <f>+[1]OBLIGACIONES!Q6</f>
        <v>-269691564.66785932</v>
      </c>
      <c r="I159" s="124">
        <f>+[1]OBLIGACIONES!Q7</f>
        <v>-270522317.74703509</v>
      </c>
      <c r="J159" s="124">
        <f>+[1]OBLIGACIONES!Q8</f>
        <v>-264283935.14517146</v>
      </c>
      <c r="K159" s="124">
        <f>+[1]OBLIGACIONES!Q9</f>
        <v>-271373136.02860844</v>
      </c>
      <c r="L159" s="124">
        <f>+[1]OBLIGACIONES!Q10</f>
        <v>-272702540.49754202</v>
      </c>
      <c r="M159" s="124">
        <f>+[1]OBLIGACIONES!Q11</f>
        <v>-272743105.45177621</v>
      </c>
      <c r="N159" s="124">
        <f>+[1]OBLIGACIONES!Q12</f>
        <v>-273747087.89131099</v>
      </c>
      <c r="O159" s="124">
        <f>+[1]OBLIGACIONES!Q13</f>
        <v>-251758302.81614637</v>
      </c>
      <c r="P159" s="124">
        <f>SUM(D159:O159)</f>
        <v>-3207735694.5023813</v>
      </c>
      <c r="Q159" s="5">
        <f t="shared" si="30"/>
        <v>21988785.075164616</v>
      </c>
      <c r="R159" s="6"/>
    </row>
    <row r="160" spans="1:18" x14ac:dyDescent="0.2">
      <c r="Q160" s="5">
        <f t="shared" si="30"/>
        <v>0</v>
      </c>
    </row>
    <row r="161" spans="1:18" ht="12.75" thickBot="1" x14ac:dyDescent="0.25">
      <c r="A161" s="18"/>
      <c r="C161" s="41"/>
      <c r="D161" s="2"/>
      <c r="E161" s="2"/>
      <c r="F161" s="2"/>
      <c r="G161" s="2"/>
      <c r="H161" s="2"/>
      <c r="I161" s="2"/>
      <c r="J161" s="105"/>
      <c r="K161" s="2"/>
      <c r="L161" s="105"/>
      <c r="M161" s="105"/>
      <c r="N161" s="105"/>
      <c r="O161" s="105"/>
      <c r="P161" s="105"/>
      <c r="Q161" s="5">
        <f t="shared" si="30"/>
        <v>0</v>
      </c>
      <c r="R161" s="6"/>
    </row>
    <row r="162" spans="1:18" ht="12.75" thickBot="1" x14ac:dyDescent="0.25">
      <c r="A162" s="18" t="s">
        <v>194</v>
      </c>
      <c r="B162" s="40" t="s">
        <v>195</v>
      </c>
      <c r="C162" s="41"/>
      <c r="D162" s="42">
        <f t="shared" ref="D162:P162" si="33">+D147</f>
        <v>-32939925</v>
      </c>
      <c r="E162" s="42">
        <f t="shared" si="33"/>
        <v>-65063709</v>
      </c>
      <c r="F162" s="42">
        <f t="shared" si="33"/>
        <v>-56023399</v>
      </c>
      <c r="G162" s="42">
        <f t="shared" si="33"/>
        <v>-69948009</v>
      </c>
      <c r="H162" s="42">
        <f t="shared" si="33"/>
        <v>79552454</v>
      </c>
      <c r="I162" s="42">
        <f t="shared" si="33"/>
        <v>-161822123</v>
      </c>
      <c r="J162" s="42">
        <f t="shared" si="33"/>
        <v>-159677317</v>
      </c>
      <c r="K162" s="42">
        <f t="shared" si="33"/>
        <v>-101198387</v>
      </c>
      <c r="L162" s="42">
        <f t="shared" si="33"/>
        <v>-19017155</v>
      </c>
      <c r="M162" s="42">
        <f t="shared" si="33"/>
        <v>11225682</v>
      </c>
      <c r="N162" s="42">
        <f t="shared" si="33"/>
        <v>806684</v>
      </c>
      <c r="O162" s="42">
        <f t="shared" si="33"/>
        <v>28534881</v>
      </c>
      <c r="P162" s="106">
        <f t="shared" si="33"/>
        <v>-545570323</v>
      </c>
      <c r="Q162" s="5">
        <f t="shared" si="30"/>
        <v>27728197</v>
      </c>
      <c r="R162" s="6"/>
    </row>
    <row r="163" spans="1:18" ht="12.75" thickBot="1" x14ac:dyDescent="0.25">
      <c r="A163" s="18" t="s">
        <v>35</v>
      </c>
      <c r="B163" s="41"/>
      <c r="C163" s="41"/>
      <c r="D163" s="2"/>
      <c r="E163" s="2"/>
      <c r="F163" s="2"/>
      <c r="G163" s="2"/>
      <c r="H163" s="2"/>
      <c r="I163" s="2"/>
      <c r="J163" s="105"/>
      <c r="K163" s="2"/>
      <c r="L163" s="105"/>
      <c r="M163" s="105"/>
      <c r="N163" s="105"/>
      <c r="O163" s="105"/>
      <c r="P163" s="3">
        <f>SUM(D163:O163)</f>
        <v>0</v>
      </c>
      <c r="Q163" s="5">
        <f t="shared" si="30"/>
        <v>0</v>
      </c>
      <c r="R163" s="6"/>
    </row>
    <row r="164" spans="1:18" ht="12.75" thickBot="1" x14ac:dyDescent="0.25">
      <c r="A164" s="18" t="s">
        <v>196</v>
      </c>
      <c r="B164" s="40" t="s">
        <v>197</v>
      </c>
      <c r="C164" s="41"/>
      <c r="D164" s="42">
        <f t="shared" ref="D164:P164" si="34">+D162+D139</f>
        <v>444102950</v>
      </c>
      <c r="E164" s="42">
        <f t="shared" si="34"/>
        <v>630261314</v>
      </c>
      <c r="F164" s="42">
        <f t="shared" si="34"/>
        <v>261499723</v>
      </c>
      <c r="G164" s="42">
        <f t="shared" si="34"/>
        <v>263248819</v>
      </c>
      <c r="H164" s="42">
        <f t="shared" si="34"/>
        <v>622078624</v>
      </c>
      <c r="I164" s="42">
        <f t="shared" si="34"/>
        <v>-64966652</v>
      </c>
      <c r="J164" s="42">
        <f t="shared" si="34"/>
        <v>254459427</v>
      </c>
      <c r="K164" s="42">
        <f t="shared" si="34"/>
        <v>277021379</v>
      </c>
      <c r="L164" s="42">
        <f t="shared" si="34"/>
        <v>31605651</v>
      </c>
      <c r="M164" s="42">
        <f t="shared" si="34"/>
        <v>497945898</v>
      </c>
      <c r="N164" s="42">
        <f t="shared" si="34"/>
        <v>-626923978</v>
      </c>
      <c r="O164" s="42">
        <f t="shared" si="34"/>
        <v>447691571</v>
      </c>
      <c r="P164" s="106">
        <f t="shared" si="34"/>
        <v>3038024726</v>
      </c>
      <c r="Q164" s="5">
        <f t="shared" si="30"/>
        <v>1074615549</v>
      </c>
      <c r="R164" s="6"/>
    </row>
    <row r="165" spans="1:18" ht="12.75" thickBot="1" x14ac:dyDescent="0.25">
      <c r="A165" s="18" t="s">
        <v>198</v>
      </c>
      <c r="C165" s="41"/>
      <c r="D165" s="2"/>
      <c r="E165" s="2"/>
      <c r="F165" s="2"/>
      <c r="G165" s="2"/>
      <c r="H165" s="2"/>
      <c r="I165" s="2"/>
      <c r="J165" s="44"/>
      <c r="K165" s="2"/>
      <c r="L165" s="44"/>
      <c r="M165" s="44"/>
      <c r="N165" s="44"/>
      <c r="O165" s="44"/>
      <c r="P165" s="3"/>
      <c r="Q165" s="5">
        <f t="shared" si="30"/>
        <v>0</v>
      </c>
      <c r="R165" s="6"/>
    </row>
    <row r="166" spans="1:18" ht="12.75" thickBot="1" x14ac:dyDescent="0.25">
      <c r="A166" s="18" t="s">
        <v>196</v>
      </c>
      <c r="B166" s="40" t="s">
        <v>199</v>
      </c>
      <c r="C166" s="41"/>
      <c r="D166" s="42">
        <f t="shared" ref="D166:P166" si="35">+D164+D153</f>
        <v>444102950</v>
      </c>
      <c r="E166" s="42">
        <f t="shared" si="35"/>
        <v>630261314</v>
      </c>
      <c r="F166" s="42">
        <f t="shared" si="35"/>
        <v>261499723</v>
      </c>
      <c r="G166" s="42">
        <f t="shared" si="35"/>
        <v>263248819</v>
      </c>
      <c r="H166" s="42">
        <f t="shared" si="35"/>
        <v>622078624</v>
      </c>
      <c r="I166" s="42">
        <f t="shared" si="35"/>
        <v>-64966652</v>
      </c>
      <c r="J166" s="42">
        <f t="shared" si="35"/>
        <v>254459427</v>
      </c>
      <c r="K166" s="42">
        <f t="shared" si="35"/>
        <v>277021379</v>
      </c>
      <c r="L166" s="42">
        <f t="shared" si="35"/>
        <v>31605651</v>
      </c>
      <c r="M166" s="42">
        <f t="shared" si="35"/>
        <v>497945898</v>
      </c>
      <c r="N166" s="42">
        <f t="shared" si="35"/>
        <v>-626923978</v>
      </c>
      <c r="O166" s="42">
        <f t="shared" si="35"/>
        <v>447691571</v>
      </c>
      <c r="P166" s="106">
        <f t="shared" si="35"/>
        <v>3038024726</v>
      </c>
      <c r="Q166" s="5">
        <f t="shared" si="30"/>
        <v>1074615549</v>
      </c>
      <c r="R166" s="6"/>
    </row>
    <row r="167" spans="1:18" x14ac:dyDescent="0.2">
      <c r="A167" s="18" t="s">
        <v>35</v>
      </c>
      <c r="C167" s="4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125"/>
      <c r="R167" s="6"/>
    </row>
    <row r="168" spans="1:18" x14ac:dyDescent="0.2">
      <c r="C168" s="41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8" x14ac:dyDescent="0.2">
      <c r="N169" s="126" t="s">
        <v>200</v>
      </c>
      <c r="O169" s="127"/>
      <c r="P169" s="128">
        <f>+P166+P159</f>
        <v>-169710968.50238132</v>
      </c>
    </row>
    <row r="170" spans="1:18" ht="19.5" x14ac:dyDescent="0.3">
      <c r="I170" s="241" t="s">
        <v>201</v>
      </c>
      <c r="J170" s="241"/>
      <c r="K170" s="241"/>
      <c r="L170" s="241"/>
    </row>
    <row r="171" spans="1:18" x14ac:dyDescent="0.2">
      <c r="I171" s="129"/>
      <c r="J171" s="129"/>
      <c r="K171" s="130">
        <v>2025</v>
      </c>
      <c r="L171" s="130">
        <v>2026</v>
      </c>
    </row>
    <row r="172" spans="1:18" x14ac:dyDescent="0.2">
      <c r="I172" s="4" t="s">
        <v>202</v>
      </c>
      <c r="K172" s="131">
        <f>+P141</f>
        <v>3583595049</v>
      </c>
      <c r="L172" s="131">
        <f>+K172+L180</f>
        <v>4171595049</v>
      </c>
    </row>
    <row r="173" spans="1:18" x14ac:dyDescent="0.2">
      <c r="I173" s="4" t="s">
        <v>203</v>
      </c>
      <c r="K173" s="132">
        <f>+P147</f>
        <v>-545570323</v>
      </c>
      <c r="L173" s="132">
        <f>+K173</f>
        <v>-545570323</v>
      </c>
    </row>
    <row r="174" spans="1:18" ht="12.75" thickBot="1" x14ac:dyDescent="0.25">
      <c r="I174" s="133" t="s">
        <v>204</v>
      </c>
      <c r="J174" s="133"/>
      <c r="K174" s="134">
        <f>+P159</f>
        <v>-3207735694.5023813</v>
      </c>
      <c r="L174" s="134">
        <f>+K174+L178</f>
        <v>-2442735694.5023813</v>
      </c>
    </row>
    <row r="175" spans="1:18" ht="14.65" customHeight="1" x14ac:dyDescent="0.2">
      <c r="I175" s="242" t="s">
        <v>205</v>
      </c>
      <c r="J175" s="242"/>
      <c r="K175" s="131">
        <f>SUM(K172:K174)</f>
        <v>-169710968.50238132</v>
      </c>
      <c r="L175" s="131">
        <f>SUM(L172:L174)</f>
        <v>1183289031.4976187</v>
      </c>
    </row>
    <row r="178" spans="9:12" x14ac:dyDescent="0.2">
      <c r="I178" s="4" t="s">
        <v>206</v>
      </c>
      <c r="K178" s="14"/>
      <c r="L178" s="14">
        <f>85000000*9</f>
        <v>765000000</v>
      </c>
    </row>
    <row r="179" spans="9:12" x14ac:dyDescent="0.2">
      <c r="I179" s="4" t="s">
        <v>207</v>
      </c>
      <c r="K179" s="14">
        <v>980000000</v>
      </c>
      <c r="L179" s="14"/>
    </row>
    <row r="180" spans="9:12" x14ac:dyDescent="0.2">
      <c r="I180" s="4" t="s">
        <v>208</v>
      </c>
      <c r="L180" s="131">
        <f>0.05*K179*12</f>
        <v>588000000</v>
      </c>
    </row>
  </sheetData>
  <mergeCells count="3">
    <mergeCell ref="B2:P3"/>
    <mergeCell ref="I170:L170"/>
    <mergeCell ref="I175:J1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44CA-7155-454C-ACE5-7C44660B8A91}">
  <dimension ref="A1:T229"/>
  <sheetViews>
    <sheetView workbookViewId="0">
      <selection activeCell="K4" sqref="K4"/>
    </sheetView>
  </sheetViews>
  <sheetFormatPr baseColWidth="10" defaultColWidth="8.85546875" defaultRowHeight="15" x14ac:dyDescent="0.25"/>
  <cols>
    <col min="1" max="1" width="9.140625" style="150"/>
    <col min="2" max="2" width="17.140625" style="150" bestFit="1" customWidth="1"/>
    <col min="3" max="3" width="48.140625" style="150" customWidth="1"/>
    <col min="4" max="4" width="8.85546875" style="145" bestFit="1" customWidth="1"/>
    <col min="5" max="5" width="11.42578125" bestFit="1" customWidth="1"/>
    <col min="6" max="6" width="11" bestFit="1" customWidth="1"/>
    <col min="7" max="7" width="45.42578125" bestFit="1" customWidth="1"/>
    <col min="10" max="10" width="12.140625" bestFit="1" customWidth="1"/>
    <col min="11" max="11" width="12" bestFit="1" customWidth="1"/>
  </cols>
  <sheetData>
    <row r="1" spans="1:20" x14ac:dyDescent="0.25">
      <c r="A1" s="147"/>
      <c r="B1" s="147"/>
      <c r="C1" s="147"/>
      <c r="D1" s="144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</row>
    <row r="2" spans="1:20" x14ac:dyDescent="0.25">
      <c r="A2" s="148" t="s">
        <v>209</v>
      </c>
      <c r="B2" s="149" t="s">
        <v>210</v>
      </c>
      <c r="C2" s="149" t="s">
        <v>211</v>
      </c>
      <c r="D2" s="152" t="s">
        <v>212</v>
      </c>
      <c r="E2" s="136" t="s">
        <v>213</v>
      </c>
      <c r="F2" s="136" t="s">
        <v>214</v>
      </c>
      <c r="G2" s="136" t="s">
        <v>215</v>
      </c>
      <c r="H2" s="135"/>
      <c r="I2" s="135"/>
      <c r="J2" s="137" t="s">
        <v>216</v>
      </c>
      <c r="K2" s="138" t="s">
        <v>214</v>
      </c>
      <c r="L2" s="135"/>
      <c r="M2" s="135"/>
      <c r="N2" s="135"/>
      <c r="O2" s="135"/>
      <c r="P2" s="135"/>
      <c r="Q2" s="135"/>
      <c r="R2" s="135"/>
      <c r="S2" s="135"/>
      <c r="T2" s="135"/>
    </row>
    <row r="3" spans="1:20" x14ac:dyDescent="0.25">
      <c r="A3" s="243">
        <v>1</v>
      </c>
      <c r="B3" s="243">
        <v>2009762</v>
      </c>
      <c r="C3" s="243" t="s">
        <v>217</v>
      </c>
      <c r="D3" s="153">
        <v>864</v>
      </c>
      <c r="E3" s="140">
        <v>46043</v>
      </c>
      <c r="F3" s="141">
        <v>996970</v>
      </c>
      <c r="G3" s="139" t="s">
        <v>218</v>
      </c>
      <c r="H3" s="135"/>
      <c r="I3" s="135"/>
      <c r="J3" s="142" t="s">
        <v>219</v>
      </c>
      <c r="K3" s="141">
        <f>+F3+F4+F18+F33+F34+F48+F49+F63+F64+F78+F93+F108+F124+F140+F156+F171+F172+F187+F188+F202+F203+F217</f>
        <v>258891767</v>
      </c>
      <c r="L3" s="135"/>
      <c r="M3" s="135"/>
      <c r="N3" s="135"/>
      <c r="O3" s="135"/>
      <c r="P3" s="135"/>
      <c r="Q3" s="135"/>
      <c r="R3" s="135"/>
      <c r="S3" s="135"/>
      <c r="T3" s="135"/>
    </row>
    <row r="4" spans="1:20" x14ac:dyDescent="0.25">
      <c r="A4" s="243"/>
      <c r="B4" s="243"/>
      <c r="C4" s="243"/>
      <c r="D4" s="153">
        <v>866</v>
      </c>
      <c r="E4" s="140">
        <v>46043</v>
      </c>
      <c r="F4" s="141">
        <v>5614874</v>
      </c>
      <c r="G4" s="139" t="s">
        <v>220</v>
      </c>
      <c r="H4" s="135"/>
      <c r="I4" s="135"/>
      <c r="J4" s="142" t="s">
        <v>3</v>
      </c>
      <c r="K4" s="139" t="s">
        <v>221</v>
      </c>
      <c r="L4" s="135"/>
      <c r="M4" s="135"/>
      <c r="N4" s="135"/>
      <c r="O4" s="135"/>
      <c r="P4" s="135"/>
      <c r="Q4" s="135"/>
      <c r="R4" s="135"/>
      <c r="S4" s="135"/>
      <c r="T4" s="135"/>
    </row>
    <row r="5" spans="1:20" x14ac:dyDescent="0.25">
      <c r="A5" s="243"/>
      <c r="B5" s="243"/>
      <c r="C5" s="243"/>
      <c r="D5" s="153" t="s">
        <v>221</v>
      </c>
      <c r="E5" s="139" t="s">
        <v>221</v>
      </c>
      <c r="F5" s="139" t="s">
        <v>221</v>
      </c>
      <c r="G5" s="139" t="s">
        <v>221</v>
      </c>
      <c r="H5" s="135"/>
      <c r="I5" s="135"/>
      <c r="J5" s="142" t="s">
        <v>4</v>
      </c>
      <c r="K5" s="139" t="s">
        <v>221</v>
      </c>
      <c r="L5" s="135"/>
      <c r="M5" s="135"/>
      <c r="N5" s="135"/>
      <c r="O5" s="135"/>
      <c r="P5" s="135"/>
      <c r="Q5" s="135"/>
      <c r="R5" s="135"/>
      <c r="S5" s="135"/>
      <c r="T5" s="135"/>
    </row>
    <row r="6" spans="1:20" x14ac:dyDescent="0.25">
      <c r="A6" s="243"/>
      <c r="B6" s="243"/>
      <c r="C6" s="243"/>
      <c r="D6" s="153" t="s">
        <v>221</v>
      </c>
      <c r="E6" s="139" t="s">
        <v>221</v>
      </c>
      <c r="F6" s="139" t="s">
        <v>221</v>
      </c>
      <c r="G6" s="139" t="s">
        <v>221</v>
      </c>
      <c r="H6" s="135"/>
      <c r="I6" s="135"/>
      <c r="J6" s="142" t="s">
        <v>5</v>
      </c>
      <c r="K6" s="139" t="s">
        <v>221</v>
      </c>
      <c r="L6" s="135"/>
      <c r="M6" s="135"/>
      <c r="N6" s="135"/>
      <c r="O6" s="135"/>
      <c r="P6" s="135"/>
      <c r="Q6" s="135"/>
      <c r="R6" s="135"/>
      <c r="S6" s="135"/>
      <c r="T6" s="135"/>
    </row>
    <row r="7" spans="1:20" x14ac:dyDescent="0.25">
      <c r="A7" s="243"/>
      <c r="B7" s="243"/>
      <c r="C7" s="243"/>
      <c r="D7" s="153" t="s">
        <v>221</v>
      </c>
      <c r="E7" s="139" t="s">
        <v>221</v>
      </c>
      <c r="F7" s="139" t="s">
        <v>221</v>
      </c>
      <c r="G7" s="139" t="s">
        <v>221</v>
      </c>
      <c r="H7" s="135"/>
      <c r="I7" s="135"/>
      <c r="J7" s="142" t="s">
        <v>6</v>
      </c>
      <c r="K7" s="139" t="s">
        <v>221</v>
      </c>
      <c r="L7" s="135"/>
      <c r="M7" s="135"/>
      <c r="N7" s="135"/>
      <c r="O7" s="135"/>
      <c r="P7" s="135"/>
      <c r="Q7" s="135"/>
      <c r="R7" s="135"/>
      <c r="S7" s="135"/>
      <c r="T7" s="135"/>
    </row>
    <row r="8" spans="1:20" x14ac:dyDescent="0.25">
      <c r="A8" s="243"/>
      <c r="B8" s="243"/>
      <c r="C8" s="243"/>
      <c r="D8" s="153" t="s">
        <v>221</v>
      </c>
      <c r="E8" s="139" t="s">
        <v>221</v>
      </c>
      <c r="F8" s="139" t="s">
        <v>221</v>
      </c>
      <c r="G8" s="139" t="s">
        <v>221</v>
      </c>
      <c r="H8" s="135"/>
      <c r="I8" s="135"/>
      <c r="J8" s="142" t="s">
        <v>7</v>
      </c>
      <c r="K8" s="139" t="s">
        <v>221</v>
      </c>
      <c r="L8" s="135"/>
      <c r="M8" s="135"/>
      <c r="N8" s="135"/>
      <c r="O8" s="135"/>
      <c r="P8" s="135"/>
      <c r="Q8" s="135"/>
      <c r="R8" s="135"/>
      <c r="S8" s="135"/>
      <c r="T8" s="135"/>
    </row>
    <row r="9" spans="1:20" x14ac:dyDescent="0.25">
      <c r="A9" s="243"/>
      <c r="B9" s="243"/>
      <c r="C9" s="243"/>
      <c r="D9" s="153" t="s">
        <v>221</v>
      </c>
      <c r="E9" s="139" t="s">
        <v>221</v>
      </c>
      <c r="F9" s="139" t="s">
        <v>221</v>
      </c>
      <c r="G9" s="139" t="s">
        <v>221</v>
      </c>
      <c r="H9" s="135"/>
      <c r="I9" s="135"/>
      <c r="J9" s="142" t="s">
        <v>8</v>
      </c>
      <c r="K9" s="139" t="s">
        <v>221</v>
      </c>
      <c r="L9" s="135"/>
      <c r="M9" s="135"/>
      <c r="N9" s="135"/>
      <c r="O9" s="135"/>
      <c r="P9" s="135"/>
      <c r="Q9" s="135"/>
      <c r="R9" s="135"/>
      <c r="S9" s="135"/>
      <c r="T9" s="135"/>
    </row>
    <row r="10" spans="1:20" x14ac:dyDescent="0.25">
      <c r="A10" s="243"/>
      <c r="B10" s="243"/>
      <c r="C10" s="243"/>
      <c r="D10" s="153" t="s">
        <v>221</v>
      </c>
      <c r="E10" s="139" t="s">
        <v>221</v>
      </c>
      <c r="F10" s="139" t="s">
        <v>221</v>
      </c>
      <c r="G10" s="139" t="s">
        <v>221</v>
      </c>
      <c r="H10" s="135"/>
      <c r="I10" s="135"/>
      <c r="J10" s="142" t="s">
        <v>9</v>
      </c>
      <c r="K10" s="139" t="s">
        <v>221</v>
      </c>
      <c r="L10" s="135"/>
      <c r="M10" s="135"/>
      <c r="N10" s="135"/>
      <c r="O10" s="135"/>
      <c r="P10" s="135"/>
      <c r="Q10" s="135"/>
      <c r="R10" s="135"/>
      <c r="S10" s="135"/>
      <c r="T10" s="135"/>
    </row>
    <row r="11" spans="1:20" x14ac:dyDescent="0.25">
      <c r="A11" s="243"/>
      <c r="B11" s="243"/>
      <c r="C11" s="243"/>
      <c r="D11" s="153" t="s">
        <v>221</v>
      </c>
      <c r="E11" s="139" t="s">
        <v>221</v>
      </c>
      <c r="F11" s="139" t="s">
        <v>221</v>
      </c>
      <c r="G11" s="139" t="s">
        <v>221</v>
      </c>
      <c r="H11" s="135"/>
      <c r="I11" s="135"/>
      <c r="J11" s="142" t="s">
        <v>10</v>
      </c>
      <c r="K11" s="139" t="s">
        <v>221</v>
      </c>
      <c r="L11" s="135"/>
      <c r="M11" s="135"/>
      <c r="N11" s="135"/>
      <c r="O11" s="135"/>
      <c r="P11" s="135"/>
      <c r="Q11" s="135"/>
      <c r="R11" s="135"/>
      <c r="S11" s="135"/>
      <c r="T11" s="135"/>
    </row>
    <row r="12" spans="1:20" x14ac:dyDescent="0.25">
      <c r="A12" s="243"/>
      <c r="B12" s="243"/>
      <c r="C12" s="243"/>
      <c r="D12" s="153" t="s">
        <v>221</v>
      </c>
      <c r="E12" s="139" t="s">
        <v>221</v>
      </c>
      <c r="F12" s="139" t="s">
        <v>221</v>
      </c>
      <c r="G12" s="139" t="s">
        <v>221</v>
      </c>
      <c r="H12" s="135"/>
      <c r="I12" s="135"/>
      <c r="J12" s="142" t="s">
        <v>11</v>
      </c>
      <c r="K12" s="139" t="s">
        <v>221</v>
      </c>
      <c r="L12" s="135"/>
      <c r="M12" s="135"/>
      <c r="N12" s="135"/>
      <c r="O12" s="135"/>
      <c r="P12" s="135"/>
      <c r="Q12" s="135"/>
      <c r="R12" s="135"/>
      <c r="S12" s="135"/>
      <c r="T12" s="135"/>
    </row>
    <row r="13" spans="1:20" x14ac:dyDescent="0.25">
      <c r="A13" s="243"/>
      <c r="B13" s="243"/>
      <c r="C13" s="243"/>
      <c r="D13" s="153" t="s">
        <v>221</v>
      </c>
      <c r="E13" s="139" t="s">
        <v>221</v>
      </c>
      <c r="F13" s="139" t="s">
        <v>221</v>
      </c>
      <c r="G13" s="139" t="s">
        <v>221</v>
      </c>
      <c r="H13" s="135"/>
      <c r="I13" s="135"/>
      <c r="J13" s="142" t="s">
        <v>12</v>
      </c>
      <c r="K13" s="139" t="s">
        <v>221</v>
      </c>
      <c r="L13" s="135"/>
      <c r="M13" s="135"/>
      <c r="N13" s="135"/>
      <c r="O13" s="135"/>
      <c r="P13" s="135"/>
      <c r="Q13" s="135"/>
      <c r="R13" s="135"/>
      <c r="S13" s="135"/>
      <c r="T13" s="135"/>
    </row>
    <row r="14" spans="1:20" x14ac:dyDescent="0.25">
      <c r="A14" s="244"/>
      <c r="B14" s="244"/>
      <c r="C14" s="244"/>
      <c r="D14" s="153" t="s">
        <v>221</v>
      </c>
      <c r="E14" s="139" t="s">
        <v>221</v>
      </c>
      <c r="F14" s="139" t="s">
        <v>221</v>
      </c>
      <c r="G14" s="139" t="s">
        <v>221</v>
      </c>
      <c r="H14" s="135"/>
      <c r="I14" s="135"/>
      <c r="J14" s="142" t="s">
        <v>13</v>
      </c>
      <c r="K14" s="139" t="s">
        <v>221</v>
      </c>
      <c r="L14" s="135"/>
      <c r="M14" s="135"/>
      <c r="N14" s="135"/>
      <c r="O14" s="135"/>
      <c r="P14" s="135"/>
      <c r="Q14" s="135"/>
      <c r="R14" s="135"/>
      <c r="S14" s="135"/>
      <c r="T14" s="135"/>
    </row>
    <row r="15" spans="1:20" x14ac:dyDescent="0.25">
      <c r="A15" s="147"/>
      <c r="B15" s="147"/>
      <c r="C15" s="147"/>
      <c r="D15" s="144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</row>
    <row r="16" spans="1:20" x14ac:dyDescent="0.25">
      <c r="A16" s="147"/>
      <c r="B16" s="147"/>
      <c r="C16" s="147"/>
      <c r="D16" s="144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</row>
    <row r="17" spans="1:20" x14ac:dyDescent="0.25">
      <c r="A17" s="148" t="s">
        <v>209</v>
      </c>
      <c r="B17" s="149" t="s">
        <v>210</v>
      </c>
      <c r="C17" s="149" t="s">
        <v>211</v>
      </c>
      <c r="D17" s="152" t="s">
        <v>212</v>
      </c>
      <c r="E17" s="136" t="s">
        <v>213</v>
      </c>
      <c r="F17" s="136" t="s">
        <v>214</v>
      </c>
      <c r="G17" s="136" t="s">
        <v>215</v>
      </c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</row>
    <row r="18" spans="1:20" x14ac:dyDescent="0.25">
      <c r="A18" s="243">
        <v>2</v>
      </c>
      <c r="B18" s="245">
        <v>2009763</v>
      </c>
      <c r="C18" s="243" t="s">
        <v>222</v>
      </c>
      <c r="D18" s="153">
        <v>514</v>
      </c>
      <c r="E18" s="140">
        <v>46043</v>
      </c>
      <c r="F18" s="141">
        <v>5851687</v>
      </c>
      <c r="G18" s="139" t="s">
        <v>223</v>
      </c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</row>
    <row r="19" spans="1:20" x14ac:dyDescent="0.25">
      <c r="A19" s="243"/>
      <c r="B19" s="243"/>
      <c r="C19" s="243"/>
      <c r="D19" s="153" t="s">
        <v>221</v>
      </c>
      <c r="E19" s="139" t="s">
        <v>221</v>
      </c>
      <c r="F19" s="139" t="s">
        <v>221</v>
      </c>
      <c r="G19" s="139" t="s">
        <v>221</v>
      </c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</row>
    <row r="20" spans="1:20" x14ac:dyDescent="0.25">
      <c r="A20" s="243"/>
      <c r="B20" s="243"/>
      <c r="C20" s="243"/>
      <c r="D20" s="153" t="s">
        <v>221</v>
      </c>
      <c r="E20" s="139" t="s">
        <v>221</v>
      </c>
      <c r="F20" s="139" t="s">
        <v>221</v>
      </c>
      <c r="G20" s="139" t="s">
        <v>221</v>
      </c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</row>
    <row r="21" spans="1:20" x14ac:dyDescent="0.25">
      <c r="A21" s="243"/>
      <c r="B21" s="243"/>
      <c r="C21" s="243"/>
      <c r="D21" s="153" t="s">
        <v>221</v>
      </c>
      <c r="E21" s="139" t="s">
        <v>221</v>
      </c>
      <c r="F21" s="139" t="s">
        <v>221</v>
      </c>
      <c r="G21" s="139" t="s">
        <v>221</v>
      </c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</row>
    <row r="22" spans="1:20" x14ac:dyDescent="0.25">
      <c r="A22" s="243"/>
      <c r="B22" s="243"/>
      <c r="C22" s="243"/>
      <c r="D22" s="153" t="s">
        <v>221</v>
      </c>
      <c r="E22" s="139" t="s">
        <v>221</v>
      </c>
      <c r="F22" s="139" t="s">
        <v>221</v>
      </c>
      <c r="G22" s="139" t="s">
        <v>221</v>
      </c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</row>
    <row r="23" spans="1:20" x14ac:dyDescent="0.25">
      <c r="A23" s="243"/>
      <c r="B23" s="243"/>
      <c r="C23" s="243"/>
      <c r="D23" s="153" t="s">
        <v>221</v>
      </c>
      <c r="E23" s="139" t="s">
        <v>221</v>
      </c>
      <c r="F23" s="139" t="s">
        <v>221</v>
      </c>
      <c r="G23" s="139" t="s">
        <v>221</v>
      </c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</row>
    <row r="24" spans="1:20" x14ac:dyDescent="0.25">
      <c r="A24" s="243"/>
      <c r="B24" s="243"/>
      <c r="C24" s="243"/>
      <c r="D24" s="153" t="s">
        <v>221</v>
      </c>
      <c r="E24" s="139" t="s">
        <v>221</v>
      </c>
      <c r="F24" s="139" t="s">
        <v>221</v>
      </c>
      <c r="G24" s="139" t="s">
        <v>221</v>
      </c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</row>
    <row r="25" spans="1:20" x14ac:dyDescent="0.25">
      <c r="A25" s="243"/>
      <c r="B25" s="243"/>
      <c r="C25" s="243"/>
      <c r="D25" s="153" t="s">
        <v>221</v>
      </c>
      <c r="E25" s="139" t="s">
        <v>221</v>
      </c>
      <c r="F25" s="139" t="s">
        <v>221</v>
      </c>
      <c r="G25" s="139" t="s">
        <v>221</v>
      </c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</row>
    <row r="26" spans="1:20" x14ac:dyDescent="0.25">
      <c r="A26" s="243"/>
      <c r="B26" s="243"/>
      <c r="C26" s="243"/>
      <c r="D26" s="153" t="s">
        <v>221</v>
      </c>
      <c r="E26" s="139" t="s">
        <v>221</v>
      </c>
      <c r="F26" s="139" t="s">
        <v>221</v>
      </c>
      <c r="G26" s="139" t="s">
        <v>221</v>
      </c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</row>
    <row r="27" spans="1:20" x14ac:dyDescent="0.25">
      <c r="A27" s="243"/>
      <c r="B27" s="243"/>
      <c r="C27" s="243"/>
      <c r="D27" s="153" t="s">
        <v>221</v>
      </c>
      <c r="E27" s="139" t="s">
        <v>221</v>
      </c>
      <c r="F27" s="139" t="s">
        <v>221</v>
      </c>
      <c r="G27" s="139" t="s">
        <v>221</v>
      </c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</row>
    <row r="28" spans="1:20" x14ac:dyDescent="0.25">
      <c r="A28" s="243"/>
      <c r="B28" s="243"/>
      <c r="C28" s="243"/>
      <c r="D28" s="153" t="s">
        <v>221</v>
      </c>
      <c r="E28" s="139" t="s">
        <v>221</v>
      </c>
      <c r="F28" s="139" t="s">
        <v>221</v>
      </c>
      <c r="G28" s="139" t="s">
        <v>221</v>
      </c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</row>
    <row r="29" spans="1:20" x14ac:dyDescent="0.25">
      <c r="A29" s="244"/>
      <c r="B29" s="246"/>
      <c r="C29" s="244"/>
      <c r="D29" s="153" t="s">
        <v>221</v>
      </c>
      <c r="E29" s="139" t="s">
        <v>221</v>
      </c>
      <c r="F29" s="139" t="s">
        <v>221</v>
      </c>
      <c r="G29" s="139" t="s">
        <v>221</v>
      </c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</row>
    <row r="30" spans="1:20" x14ac:dyDescent="0.25">
      <c r="A30" s="147"/>
      <c r="B30" s="147"/>
      <c r="C30" s="151"/>
      <c r="D30" s="154"/>
      <c r="E30" s="151"/>
      <c r="F30" s="143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</row>
    <row r="31" spans="1:20" x14ac:dyDescent="0.25">
      <c r="A31" s="147"/>
      <c r="B31" s="147"/>
      <c r="C31" s="147"/>
      <c r="D31" s="144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</row>
    <row r="32" spans="1:20" x14ac:dyDescent="0.25">
      <c r="A32" s="148" t="s">
        <v>209</v>
      </c>
      <c r="B32" s="149" t="s">
        <v>210</v>
      </c>
      <c r="C32" s="149" t="s">
        <v>211</v>
      </c>
      <c r="D32" s="152" t="s">
        <v>212</v>
      </c>
      <c r="E32" s="136" t="s">
        <v>213</v>
      </c>
      <c r="F32" s="136" t="s">
        <v>214</v>
      </c>
      <c r="G32" s="136" t="s">
        <v>215</v>
      </c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</row>
    <row r="33" spans="1:20" x14ac:dyDescent="0.25">
      <c r="A33" s="243">
        <v>3</v>
      </c>
      <c r="B33" s="245">
        <v>2009764</v>
      </c>
      <c r="C33" s="243" t="s">
        <v>224</v>
      </c>
      <c r="D33" s="153">
        <v>865</v>
      </c>
      <c r="E33" s="140">
        <v>46043</v>
      </c>
      <c r="F33" s="141">
        <v>3476001</v>
      </c>
      <c r="G33" s="139" t="s">
        <v>225</v>
      </c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</row>
    <row r="34" spans="1:20" x14ac:dyDescent="0.25">
      <c r="A34" s="243"/>
      <c r="B34" s="243"/>
      <c r="C34" s="243"/>
      <c r="D34" s="153">
        <v>868</v>
      </c>
      <c r="E34" s="140">
        <v>46043</v>
      </c>
      <c r="F34" s="141">
        <v>1010293</v>
      </c>
      <c r="G34" s="139" t="s">
        <v>226</v>
      </c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</row>
    <row r="35" spans="1:20" x14ac:dyDescent="0.25">
      <c r="A35" s="243"/>
      <c r="B35" s="243"/>
      <c r="C35" s="243"/>
      <c r="D35" s="153" t="s">
        <v>221</v>
      </c>
      <c r="E35" s="139" t="s">
        <v>221</v>
      </c>
      <c r="F35" s="139" t="s">
        <v>221</v>
      </c>
      <c r="G35" s="139" t="s">
        <v>221</v>
      </c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</row>
    <row r="36" spans="1:20" x14ac:dyDescent="0.25">
      <c r="A36" s="243"/>
      <c r="B36" s="243"/>
      <c r="C36" s="243"/>
      <c r="D36" s="153" t="s">
        <v>221</v>
      </c>
      <c r="E36" s="139" t="s">
        <v>221</v>
      </c>
      <c r="F36" s="139" t="s">
        <v>221</v>
      </c>
      <c r="G36" s="139" t="s">
        <v>221</v>
      </c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</row>
    <row r="37" spans="1:20" x14ac:dyDescent="0.25">
      <c r="A37" s="243"/>
      <c r="B37" s="243"/>
      <c r="C37" s="243"/>
      <c r="D37" s="153" t="s">
        <v>221</v>
      </c>
      <c r="E37" s="139" t="s">
        <v>221</v>
      </c>
      <c r="F37" s="139" t="s">
        <v>221</v>
      </c>
      <c r="G37" s="139" t="s">
        <v>221</v>
      </c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</row>
    <row r="38" spans="1:20" x14ac:dyDescent="0.25">
      <c r="A38" s="243"/>
      <c r="B38" s="243"/>
      <c r="C38" s="243"/>
      <c r="D38" s="153" t="s">
        <v>221</v>
      </c>
      <c r="E38" s="139" t="s">
        <v>221</v>
      </c>
      <c r="F38" s="139" t="s">
        <v>221</v>
      </c>
      <c r="G38" s="139" t="s">
        <v>221</v>
      </c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</row>
    <row r="39" spans="1:20" x14ac:dyDescent="0.25">
      <c r="A39" s="243"/>
      <c r="B39" s="243"/>
      <c r="C39" s="243"/>
      <c r="D39" s="153" t="s">
        <v>221</v>
      </c>
      <c r="E39" s="139" t="s">
        <v>221</v>
      </c>
      <c r="F39" s="139" t="s">
        <v>221</v>
      </c>
      <c r="G39" s="139" t="s">
        <v>221</v>
      </c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</row>
    <row r="40" spans="1:20" x14ac:dyDescent="0.25">
      <c r="A40" s="243"/>
      <c r="B40" s="243"/>
      <c r="C40" s="243"/>
      <c r="D40" s="153" t="s">
        <v>221</v>
      </c>
      <c r="E40" s="139" t="s">
        <v>221</v>
      </c>
      <c r="F40" s="139" t="s">
        <v>221</v>
      </c>
      <c r="G40" s="139" t="s">
        <v>221</v>
      </c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</row>
    <row r="41" spans="1:20" x14ac:dyDescent="0.25">
      <c r="A41" s="243"/>
      <c r="B41" s="243"/>
      <c r="C41" s="243"/>
      <c r="D41" s="153" t="s">
        <v>221</v>
      </c>
      <c r="E41" s="139" t="s">
        <v>221</v>
      </c>
      <c r="F41" s="139" t="s">
        <v>221</v>
      </c>
      <c r="G41" s="139" t="s">
        <v>221</v>
      </c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</row>
    <row r="42" spans="1:20" x14ac:dyDescent="0.25">
      <c r="A42" s="243"/>
      <c r="B42" s="243"/>
      <c r="C42" s="243"/>
      <c r="D42" s="153" t="s">
        <v>221</v>
      </c>
      <c r="E42" s="139" t="s">
        <v>221</v>
      </c>
      <c r="F42" s="139" t="s">
        <v>221</v>
      </c>
      <c r="G42" s="139" t="s">
        <v>221</v>
      </c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</row>
    <row r="43" spans="1:20" x14ac:dyDescent="0.25">
      <c r="A43" s="243"/>
      <c r="B43" s="243"/>
      <c r="C43" s="243"/>
      <c r="D43" s="153" t="s">
        <v>221</v>
      </c>
      <c r="E43" s="139" t="s">
        <v>221</v>
      </c>
      <c r="F43" s="139" t="s">
        <v>221</v>
      </c>
      <c r="G43" s="139" t="s">
        <v>221</v>
      </c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</row>
    <row r="44" spans="1:20" x14ac:dyDescent="0.25">
      <c r="A44" s="244"/>
      <c r="B44" s="246"/>
      <c r="C44" s="244"/>
      <c r="D44" s="153" t="s">
        <v>221</v>
      </c>
      <c r="E44" s="139" t="s">
        <v>221</v>
      </c>
      <c r="F44" s="139" t="s">
        <v>221</v>
      </c>
      <c r="G44" s="139" t="s">
        <v>221</v>
      </c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</row>
    <row r="45" spans="1:20" x14ac:dyDescent="0.25">
      <c r="A45" s="147"/>
      <c r="B45" s="147"/>
      <c r="C45" s="151"/>
      <c r="D45" s="154"/>
      <c r="E45" s="151"/>
      <c r="F45" s="143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</row>
    <row r="46" spans="1:20" x14ac:dyDescent="0.25">
      <c r="A46" s="147"/>
      <c r="B46" s="147"/>
      <c r="C46" s="147"/>
      <c r="D46" s="144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</row>
    <row r="47" spans="1:20" x14ac:dyDescent="0.25">
      <c r="A47" s="148" t="s">
        <v>209</v>
      </c>
      <c r="B47" s="149" t="s">
        <v>210</v>
      </c>
      <c r="C47" s="149" t="s">
        <v>211</v>
      </c>
      <c r="D47" s="152" t="s">
        <v>212</v>
      </c>
      <c r="E47" s="136" t="s">
        <v>213</v>
      </c>
      <c r="F47" s="136" t="s">
        <v>214</v>
      </c>
      <c r="G47" s="136" t="s">
        <v>215</v>
      </c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</row>
    <row r="48" spans="1:20" x14ac:dyDescent="0.25">
      <c r="A48" s="243">
        <v>4</v>
      </c>
      <c r="B48" s="245">
        <v>2009765</v>
      </c>
      <c r="C48" s="243" t="s">
        <v>227</v>
      </c>
      <c r="D48" s="153">
        <v>977</v>
      </c>
      <c r="E48" s="140">
        <v>46048</v>
      </c>
      <c r="F48" s="141">
        <v>746542</v>
      </c>
      <c r="G48" s="139" t="s">
        <v>228</v>
      </c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</row>
    <row r="49" spans="1:20" x14ac:dyDescent="0.25">
      <c r="A49" s="243"/>
      <c r="B49" s="243"/>
      <c r="C49" s="243"/>
      <c r="D49" s="153">
        <v>982</v>
      </c>
      <c r="E49" s="140">
        <v>46048</v>
      </c>
      <c r="F49" s="141">
        <v>4617505</v>
      </c>
      <c r="G49" s="139" t="s">
        <v>229</v>
      </c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</row>
    <row r="50" spans="1:20" x14ac:dyDescent="0.25">
      <c r="A50" s="243"/>
      <c r="B50" s="243"/>
      <c r="C50" s="243"/>
      <c r="D50" s="153" t="s">
        <v>221</v>
      </c>
      <c r="E50" s="139" t="s">
        <v>221</v>
      </c>
      <c r="F50" s="139" t="s">
        <v>221</v>
      </c>
      <c r="G50" s="139" t="s">
        <v>221</v>
      </c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</row>
    <row r="51" spans="1:20" x14ac:dyDescent="0.25">
      <c r="A51" s="243"/>
      <c r="B51" s="243"/>
      <c r="C51" s="243"/>
      <c r="D51" s="153" t="s">
        <v>221</v>
      </c>
      <c r="E51" s="139" t="s">
        <v>221</v>
      </c>
      <c r="F51" s="139" t="s">
        <v>221</v>
      </c>
      <c r="G51" s="139" t="s">
        <v>221</v>
      </c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</row>
    <row r="52" spans="1:20" x14ac:dyDescent="0.25">
      <c r="A52" s="243"/>
      <c r="B52" s="243"/>
      <c r="C52" s="243"/>
      <c r="D52" s="153" t="s">
        <v>221</v>
      </c>
      <c r="E52" s="139" t="s">
        <v>221</v>
      </c>
      <c r="F52" s="139" t="s">
        <v>221</v>
      </c>
      <c r="G52" s="139" t="s">
        <v>221</v>
      </c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</row>
    <row r="53" spans="1:20" x14ac:dyDescent="0.25">
      <c r="A53" s="243"/>
      <c r="B53" s="243"/>
      <c r="C53" s="243"/>
      <c r="D53" s="153" t="s">
        <v>221</v>
      </c>
      <c r="E53" s="139" t="s">
        <v>221</v>
      </c>
      <c r="F53" s="139" t="s">
        <v>221</v>
      </c>
      <c r="G53" s="139" t="s">
        <v>221</v>
      </c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</row>
    <row r="54" spans="1:20" x14ac:dyDescent="0.25">
      <c r="A54" s="243"/>
      <c r="B54" s="243"/>
      <c r="C54" s="243"/>
      <c r="D54" s="153" t="s">
        <v>221</v>
      </c>
      <c r="E54" s="139" t="s">
        <v>221</v>
      </c>
      <c r="F54" s="139" t="s">
        <v>221</v>
      </c>
      <c r="G54" s="139" t="s">
        <v>221</v>
      </c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</row>
    <row r="55" spans="1:20" x14ac:dyDescent="0.25">
      <c r="A55" s="243"/>
      <c r="B55" s="243"/>
      <c r="C55" s="243"/>
      <c r="D55" s="153" t="s">
        <v>221</v>
      </c>
      <c r="E55" s="139" t="s">
        <v>221</v>
      </c>
      <c r="F55" s="139" t="s">
        <v>221</v>
      </c>
      <c r="G55" s="139" t="s">
        <v>221</v>
      </c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</row>
    <row r="56" spans="1:20" x14ac:dyDescent="0.25">
      <c r="A56" s="243"/>
      <c r="B56" s="243"/>
      <c r="C56" s="243"/>
      <c r="D56" s="153" t="s">
        <v>221</v>
      </c>
      <c r="E56" s="139" t="s">
        <v>221</v>
      </c>
      <c r="F56" s="139" t="s">
        <v>221</v>
      </c>
      <c r="G56" s="139" t="s">
        <v>221</v>
      </c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</row>
    <row r="57" spans="1:20" x14ac:dyDescent="0.25">
      <c r="A57" s="243"/>
      <c r="B57" s="243"/>
      <c r="C57" s="243"/>
      <c r="D57" s="153" t="s">
        <v>221</v>
      </c>
      <c r="E57" s="139" t="s">
        <v>221</v>
      </c>
      <c r="F57" s="139" t="s">
        <v>221</v>
      </c>
      <c r="G57" s="139" t="s">
        <v>221</v>
      </c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</row>
    <row r="58" spans="1:20" x14ac:dyDescent="0.25">
      <c r="A58" s="243"/>
      <c r="B58" s="243"/>
      <c r="C58" s="243"/>
      <c r="D58" s="153" t="s">
        <v>221</v>
      </c>
      <c r="E58" s="139" t="s">
        <v>221</v>
      </c>
      <c r="F58" s="139" t="s">
        <v>221</v>
      </c>
      <c r="G58" s="139" t="s">
        <v>221</v>
      </c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</row>
    <row r="59" spans="1:20" x14ac:dyDescent="0.25">
      <c r="A59" s="244"/>
      <c r="B59" s="246"/>
      <c r="C59" s="244"/>
      <c r="D59" s="153" t="s">
        <v>221</v>
      </c>
      <c r="E59" s="139" t="s">
        <v>221</v>
      </c>
      <c r="F59" s="139" t="s">
        <v>221</v>
      </c>
      <c r="G59" s="139" t="s">
        <v>221</v>
      </c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</row>
    <row r="60" spans="1:20" x14ac:dyDescent="0.25">
      <c r="A60" s="147"/>
      <c r="B60" s="147"/>
      <c r="C60" s="151"/>
      <c r="D60" s="154"/>
      <c r="E60" s="151"/>
      <c r="F60" s="143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</row>
    <row r="61" spans="1:20" x14ac:dyDescent="0.25">
      <c r="A61" s="147"/>
      <c r="B61" s="147"/>
      <c r="C61" s="147"/>
      <c r="D61" s="144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</row>
    <row r="62" spans="1:20" x14ac:dyDescent="0.25">
      <c r="A62" s="148" t="s">
        <v>209</v>
      </c>
      <c r="B62" s="149" t="s">
        <v>210</v>
      </c>
      <c r="C62" s="149" t="s">
        <v>211</v>
      </c>
      <c r="D62" s="152" t="s">
        <v>212</v>
      </c>
      <c r="E62" s="136" t="s">
        <v>213</v>
      </c>
      <c r="F62" s="136" t="s">
        <v>214</v>
      </c>
      <c r="G62" s="136" t="s">
        <v>215</v>
      </c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</row>
    <row r="63" spans="1:20" x14ac:dyDescent="0.25">
      <c r="A63" s="243" t="s">
        <v>230</v>
      </c>
      <c r="B63" s="247" t="s">
        <v>231</v>
      </c>
      <c r="C63" s="243" t="s">
        <v>232</v>
      </c>
      <c r="D63" s="153">
        <v>978</v>
      </c>
      <c r="E63" s="140">
        <v>46048</v>
      </c>
      <c r="F63" s="141">
        <v>37554738</v>
      </c>
      <c r="G63" s="139" t="s">
        <v>233</v>
      </c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</row>
    <row r="64" spans="1:20" x14ac:dyDescent="0.25">
      <c r="A64" s="243"/>
      <c r="B64" s="248"/>
      <c r="C64" s="243"/>
      <c r="D64" s="153">
        <v>979</v>
      </c>
      <c r="E64" s="140">
        <v>46048</v>
      </c>
      <c r="F64" s="141">
        <v>10979024</v>
      </c>
      <c r="G64" s="139" t="s">
        <v>234</v>
      </c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</row>
    <row r="65" spans="1:20" x14ac:dyDescent="0.25">
      <c r="A65" s="243"/>
      <c r="B65" s="248"/>
      <c r="C65" s="243"/>
      <c r="D65" s="153" t="s">
        <v>221</v>
      </c>
      <c r="E65" s="139" t="s">
        <v>221</v>
      </c>
      <c r="F65" s="139" t="s">
        <v>221</v>
      </c>
      <c r="G65" s="139" t="s">
        <v>221</v>
      </c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</row>
    <row r="66" spans="1:20" x14ac:dyDescent="0.25">
      <c r="A66" s="243"/>
      <c r="B66" s="248"/>
      <c r="C66" s="243"/>
      <c r="D66" s="153" t="s">
        <v>221</v>
      </c>
      <c r="E66" s="139" t="s">
        <v>221</v>
      </c>
      <c r="F66" s="139" t="s">
        <v>221</v>
      </c>
      <c r="G66" s="139" t="s">
        <v>221</v>
      </c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</row>
    <row r="67" spans="1:20" x14ac:dyDescent="0.25">
      <c r="A67" s="243"/>
      <c r="B67" s="248"/>
      <c r="C67" s="243"/>
      <c r="D67" s="153" t="s">
        <v>221</v>
      </c>
      <c r="E67" s="139" t="s">
        <v>221</v>
      </c>
      <c r="F67" s="139" t="s">
        <v>221</v>
      </c>
      <c r="G67" s="139" t="s">
        <v>221</v>
      </c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</row>
    <row r="68" spans="1:20" x14ac:dyDescent="0.25">
      <c r="A68" s="243"/>
      <c r="B68" s="248"/>
      <c r="C68" s="243"/>
      <c r="D68" s="153" t="s">
        <v>221</v>
      </c>
      <c r="E68" s="139" t="s">
        <v>221</v>
      </c>
      <c r="F68" s="139" t="s">
        <v>221</v>
      </c>
      <c r="G68" s="139" t="s">
        <v>221</v>
      </c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</row>
    <row r="69" spans="1:20" x14ac:dyDescent="0.25">
      <c r="A69" s="243"/>
      <c r="B69" s="248"/>
      <c r="C69" s="243"/>
      <c r="D69" s="153" t="s">
        <v>221</v>
      </c>
      <c r="E69" s="139" t="s">
        <v>221</v>
      </c>
      <c r="F69" s="139" t="s">
        <v>221</v>
      </c>
      <c r="G69" s="139" t="s">
        <v>221</v>
      </c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</row>
    <row r="70" spans="1:20" x14ac:dyDescent="0.25">
      <c r="A70" s="243"/>
      <c r="B70" s="248"/>
      <c r="C70" s="243"/>
      <c r="D70" s="153" t="s">
        <v>221</v>
      </c>
      <c r="E70" s="139" t="s">
        <v>221</v>
      </c>
      <c r="F70" s="139" t="s">
        <v>221</v>
      </c>
      <c r="G70" s="139" t="s">
        <v>221</v>
      </c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</row>
    <row r="71" spans="1:20" x14ac:dyDescent="0.25">
      <c r="A71" s="243"/>
      <c r="B71" s="248"/>
      <c r="C71" s="243"/>
      <c r="D71" s="153" t="s">
        <v>221</v>
      </c>
      <c r="E71" s="139" t="s">
        <v>221</v>
      </c>
      <c r="F71" s="139" t="s">
        <v>221</v>
      </c>
      <c r="G71" s="139" t="s">
        <v>221</v>
      </c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</row>
    <row r="72" spans="1:20" x14ac:dyDescent="0.25">
      <c r="A72" s="243"/>
      <c r="B72" s="248"/>
      <c r="C72" s="243"/>
      <c r="D72" s="153" t="s">
        <v>221</v>
      </c>
      <c r="E72" s="139" t="s">
        <v>221</v>
      </c>
      <c r="F72" s="139" t="s">
        <v>221</v>
      </c>
      <c r="G72" s="139" t="s">
        <v>221</v>
      </c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</row>
    <row r="73" spans="1:20" x14ac:dyDescent="0.25">
      <c r="A73" s="243"/>
      <c r="B73" s="248"/>
      <c r="C73" s="243"/>
      <c r="D73" s="153" t="s">
        <v>221</v>
      </c>
      <c r="E73" s="139" t="s">
        <v>221</v>
      </c>
      <c r="F73" s="139" t="s">
        <v>221</v>
      </c>
      <c r="G73" s="139" t="s">
        <v>221</v>
      </c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</row>
    <row r="74" spans="1:20" x14ac:dyDescent="0.25">
      <c r="A74" s="244"/>
      <c r="B74" s="249"/>
      <c r="C74" s="244"/>
      <c r="D74" s="153" t="s">
        <v>221</v>
      </c>
      <c r="E74" s="139" t="s">
        <v>221</v>
      </c>
      <c r="F74" s="139" t="s">
        <v>221</v>
      </c>
      <c r="G74" s="139" t="s">
        <v>221</v>
      </c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</row>
    <row r="75" spans="1:20" x14ac:dyDescent="0.25">
      <c r="A75" s="147"/>
      <c r="B75" s="147"/>
      <c r="C75" s="250"/>
      <c r="D75" s="250"/>
      <c r="E75" s="250"/>
      <c r="F75" s="143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</row>
    <row r="76" spans="1:20" x14ac:dyDescent="0.25">
      <c r="A76" s="147"/>
      <c r="B76" s="147"/>
      <c r="C76" s="147"/>
      <c r="D76" s="144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</row>
    <row r="77" spans="1:20" x14ac:dyDescent="0.25">
      <c r="A77" s="148" t="s">
        <v>209</v>
      </c>
      <c r="B77" s="149" t="s">
        <v>210</v>
      </c>
      <c r="C77" s="149" t="s">
        <v>211</v>
      </c>
      <c r="D77" s="152" t="s">
        <v>212</v>
      </c>
      <c r="E77" s="136" t="s">
        <v>213</v>
      </c>
      <c r="F77" s="136" t="s">
        <v>214</v>
      </c>
      <c r="G77" s="136" t="s">
        <v>215</v>
      </c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</row>
    <row r="78" spans="1:20" x14ac:dyDescent="0.25">
      <c r="A78" s="243">
        <v>7</v>
      </c>
      <c r="B78" s="245">
        <v>3002418</v>
      </c>
      <c r="C78" s="243" t="s">
        <v>235</v>
      </c>
      <c r="D78" s="153">
        <v>981</v>
      </c>
      <c r="E78" s="140">
        <v>46048</v>
      </c>
      <c r="F78" s="141">
        <v>69332134</v>
      </c>
      <c r="G78" s="139" t="s">
        <v>236</v>
      </c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</row>
    <row r="79" spans="1:20" x14ac:dyDescent="0.25">
      <c r="A79" s="243"/>
      <c r="B79" s="243"/>
      <c r="C79" s="243"/>
      <c r="D79" s="153" t="s">
        <v>221</v>
      </c>
      <c r="E79" s="139" t="s">
        <v>221</v>
      </c>
      <c r="F79" s="139" t="s">
        <v>221</v>
      </c>
      <c r="G79" s="139" t="s">
        <v>221</v>
      </c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</row>
    <row r="80" spans="1:20" x14ac:dyDescent="0.25">
      <c r="A80" s="243"/>
      <c r="B80" s="243"/>
      <c r="C80" s="243"/>
      <c r="D80" s="153" t="s">
        <v>221</v>
      </c>
      <c r="E80" s="139" t="s">
        <v>221</v>
      </c>
      <c r="F80" s="139" t="s">
        <v>221</v>
      </c>
      <c r="G80" s="139" t="s">
        <v>221</v>
      </c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</row>
    <row r="81" spans="1:20" x14ac:dyDescent="0.25">
      <c r="A81" s="243"/>
      <c r="B81" s="243"/>
      <c r="C81" s="243"/>
      <c r="D81" s="153" t="s">
        <v>221</v>
      </c>
      <c r="E81" s="139" t="s">
        <v>221</v>
      </c>
      <c r="F81" s="139" t="s">
        <v>221</v>
      </c>
      <c r="G81" s="139" t="s">
        <v>221</v>
      </c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</row>
    <row r="82" spans="1:20" x14ac:dyDescent="0.25">
      <c r="A82" s="243"/>
      <c r="B82" s="243"/>
      <c r="C82" s="243"/>
      <c r="D82" s="153" t="s">
        <v>221</v>
      </c>
      <c r="E82" s="139" t="s">
        <v>221</v>
      </c>
      <c r="F82" s="139" t="s">
        <v>221</v>
      </c>
      <c r="G82" s="139" t="s">
        <v>221</v>
      </c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</row>
    <row r="83" spans="1:20" x14ac:dyDescent="0.25">
      <c r="A83" s="243"/>
      <c r="B83" s="243"/>
      <c r="C83" s="243"/>
      <c r="D83" s="153" t="s">
        <v>221</v>
      </c>
      <c r="E83" s="139" t="s">
        <v>221</v>
      </c>
      <c r="F83" s="139" t="s">
        <v>221</v>
      </c>
      <c r="G83" s="139" t="s">
        <v>221</v>
      </c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</row>
    <row r="84" spans="1:20" x14ac:dyDescent="0.25">
      <c r="A84" s="243"/>
      <c r="B84" s="243"/>
      <c r="C84" s="243"/>
      <c r="D84" s="153" t="s">
        <v>221</v>
      </c>
      <c r="E84" s="139" t="s">
        <v>221</v>
      </c>
      <c r="F84" s="139" t="s">
        <v>221</v>
      </c>
      <c r="G84" s="139" t="s">
        <v>221</v>
      </c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</row>
    <row r="85" spans="1:20" x14ac:dyDescent="0.25">
      <c r="A85" s="243"/>
      <c r="B85" s="243"/>
      <c r="C85" s="243"/>
      <c r="D85" s="153" t="s">
        <v>221</v>
      </c>
      <c r="E85" s="139" t="s">
        <v>221</v>
      </c>
      <c r="F85" s="139" t="s">
        <v>221</v>
      </c>
      <c r="G85" s="139" t="s">
        <v>221</v>
      </c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</row>
    <row r="86" spans="1:20" x14ac:dyDescent="0.25">
      <c r="A86" s="243"/>
      <c r="B86" s="243"/>
      <c r="C86" s="243"/>
      <c r="D86" s="153" t="s">
        <v>221</v>
      </c>
      <c r="E86" s="139" t="s">
        <v>221</v>
      </c>
      <c r="F86" s="139" t="s">
        <v>221</v>
      </c>
      <c r="G86" s="139" t="s">
        <v>221</v>
      </c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</row>
    <row r="87" spans="1:20" x14ac:dyDescent="0.25">
      <c r="A87" s="243"/>
      <c r="B87" s="243"/>
      <c r="C87" s="243"/>
      <c r="D87" s="153" t="s">
        <v>221</v>
      </c>
      <c r="E87" s="139" t="s">
        <v>221</v>
      </c>
      <c r="F87" s="139" t="s">
        <v>221</v>
      </c>
      <c r="G87" s="139" t="s">
        <v>221</v>
      </c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</row>
    <row r="88" spans="1:20" x14ac:dyDescent="0.25">
      <c r="A88" s="243"/>
      <c r="B88" s="243"/>
      <c r="C88" s="243"/>
      <c r="D88" s="153" t="s">
        <v>221</v>
      </c>
      <c r="E88" s="139" t="s">
        <v>221</v>
      </c>
      <c r="F88" s="139" t="s">
        <v>221</v>
      </c>
      <c r="G88" s="139" t="s">
        <v>221</v>
      </c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</row>
    <row r="89" spans="1:20" x14ac:dyDescent="0.25">
      <c r="A89" s="244"/>
      <c r="B89" s="246"/>
      <c r="C89" s="244"/>
      <c r="D89" s="153" t="s">
        <v>221</v>
      </c>
      <c r="E89" s="139" t="s">
        <v>221</v>
      </c>
      <c r="F89" s="139" t="s">
        <v>221</v>
      </c>
      <c r="G89" s="139" t="s">
        <v>221</v>
      </c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</row>
    <row r="90" spans="1:20" x14ac:dyDescent="0.25">
      <c r="A90" s="147"/>
      <c r="B90" s="147"/>
      <c r="C90" s="151"/>
      <c r="D90" s="154"/>
      <c r="E90" s="151"/>
      <c r="F90" s="143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</row>
    <row r="91" spans="1:20" x14ac:dyDescent="0.25">
      <c r="A91" s="147"/>
      <c r="B91" s="147"/>
      <c r="C91" s="147"/>
      <c r="D91" s="144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</row>
    <row r="92" spans="1:20" x14ac:dyDescent="0.25">
      <c r="A92" s="148" t="s">
        <v>209</v>
      </c>
      <c r="B92" s="149" t="s">
        <v>210</v>
      </c>
      <c r="C92" s="149" t="s">
        <v>211</v>
      </c>
      <c r="D92" s="152" t="s">
        <v>212</v>
      </c>
      <c r="E92" s="136" t="s">
        <v>213</v>
      </c>
      <c r="F92" s="136" t="s">
        <v>214</v>
      </c>
      <c r="G92" s="136" t="s">
        <v>215</v>
      </c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</row>
    <row r="93" spans="1:20" x14ac:dyDescent="0.25">
      <c r="A93" s="243">
        <v>8</v>
      </c>
      <c r="B93" s="245">
        <v>9157</v>
      </c>
      <c r="C93" s="243" t="s">
        <v>237</v>
      </c>
      <c r="D93" s="153">
        <v>587</v>
      </c>
      <c r="E93" s="140">
        <v>46037</v>
      </c>
      <c r="F93" s="141">
        <v>8021398</v>
      </c>
      <c r="G93" s="139" t="s">
        <v>238</v>
      </c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</row>
    <row r="94" spans="1:20" x14ac:dyDescent="0.25">
      <c r="A94" s="243"/>
      <c r="B94" s="243"/>
      <c r="C94" s="243"/>
      <c r="D94" s="153" t="s">
        <v>221</v>
      </c>
      <c r="E94" s="139" t="s">
        <v>221</v>
      </c>
      <c r="F94" s="139" t="s">
        <v>221</v>
      </c>
      <c r="G94" s="139" t="s">
        <v>221</v>
      </c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</row>
    <row r="95" spans="1:20" x14ac:dyDescent="0.25">
      <c r="A95" s="243"/>
      <c r="B95" s="243"/>
      <c r="C95" s="243"/>
      <c r="D95" s="153" t="s">
        <v>221</v>
      </c>
      <c r="E95" s="139" t="s">
        <v>221</v>
      </c>
      <c r="F95" s="139" t="s">
        <v>221</v>
      </c>
      <c r="G95" s="139" t="s">
        <v>221</v>
      </c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</row>
    <row r="96" spans="1:20" x14ac:dyDescent="0.25">
      <c r="A96" s="243"/>
      <c r="B96" s="243"/>
      <c r="C96" s="243"/>
      <c r="D96" s="153" t="s">
        <v>221</v>
      </c>
      <c r="E96" s="139" t="s">
        <v>221</v>
      </c>
      <c r="F96" s="139" t="s">
        <v>221</v>
      </c>
      <c r="G96" s="139" t="s">
        <v>221</v>
      </c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</row>
    <row r="97" spans="1:20" x14ac:dyDescent="0.25">
      <c r="A97" s="243"/>
      <c r="B97" s="243"/>
      <c r="C97" s="243"/>
      <c r="D97" s="153" t="s">
        <v>221</v>
      </c>
      <c r="E97" s="139" t="s">
        <v>221</v>
      </c>
      <c r="F97" s="139" t="s">
        <v>221</v>
      </c>
      <c r="G97" s="139" t="s">
        <v>221</v>
      </c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</row>
    <row r="98" spans="1:20" x14ac:dyDescent="0.25">
      <c r="A98" s="243"/>
      <c r="B98" s="243"/>
      <c r="C98" s="243"/>
      <c r="D98" s="153" t="s">
        <v>221</v>
      </c>
      <c r="E98" s="139" t="s">
        <v>221</v>
      </c>
      <c r="F98" s="139" t="s">
        <v>221</v>
      </c>
      <c r="G98" s="139" t="s">
        <v>221</v>
      </c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</row>
    <row r="99" spans="1:20" x14ac:dyDescent="0.25">
      <c r="A99" s="243"/>
      <c r="B99" s="243"/>
      <c r="C99" s="243"/>
      <c r="D99" s="153" t="s">
        <v>221</v>
      </c>
      <c r="E99" s="139" t="s">
        <v>221</v>
      </c>
      <c r="F99" s="139" t="s">
        <v>221</v>
      </c>
      <c r="G99" s="139" t="s">
        <v>221</v>
      </c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</row>
    <row r="100" spans="1:20" x14ac:dyDescent="0.25">
      <c r="A100" s="243"/>
      <c r="B100" s="243"/>
      <c r="C100" s="243"/>
      <c r="D100" s="153" t="s">
        <v>221</v>
      </c>
      <c r="E100" s="139" t="s">
        <v>221</v>
      </c>
      <c r="F100" s="139" t="s">
        <v>221</v>
      </c>
      <c r="G100" s="139" t="s">
        <v>221</v>
      </c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</row>
    <row r="101" spans="1:20" x14ac:dyDescent="0.25">
      <c r="A101" s="243"/>
      <c r="B101" s="243"/>
      <c r="C101" s="243"/>
      <c r="D101" s="153" t="s">
        <v>221</v>
      </c>
      <c r="E101" s="139" t="s">
        <v>221</v>
      </c>
      <c r="F101" s="139" t="s">
        <v>221</v>
      </c>
      <c r="G101" s="139" t="s">
        <v>221</v>
      </c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</row>
    <row r="102" spans="1:20" x14ac:dyDescent="0.25">
      <c r="A102" s="243"/>
      <c r="B102" s="243"/>
      <c r="C102" s="243"/>
      <c r="D102" s="153" t="s">
        <v>221</v>
      </c>
      <c r="E102" s="139" t="s">
        <v>221</v>
      </c>
      <c r="F102" s="139" t="s">
        <v>221</v>
      </c>
      <c r="G102" s="139" t="s">
        <v>221</v>
      </c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</row>
    <row r="103" spans="1:20" x14ac:dyDescent="0.25">
      <c r="A103" s="243"/>
      <c r="B103" s="243"/>
      <c r="C103" s="243"/>
      <c r="D103" s="153" t="s">
        <v>221</v>
      </c>
      <c r="E103" s="139" t="s">
        <v>221</v>
      </c>
      <c r="F103" s="139" t="s">
        <v>221</v>
      </c>
      <c r="G103" s="139" t="s">
        <v>221</v>
      </c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</row>
    <row r="104" spans="1:20" x14ac:dyDescent="0.25">
      <c r="A104" s="244"/>
      <c r="B104" s="246"/>
      <c r="C104" s="244"/>
      <c r="D104" s="153" t="s">
        <v>221</v>
      </c>
      <c r="E104" s="139" t="s">
        <v>221</v>
      </c>
      <c r="F104" s="139" t="s">
        <v>221</v>
      </c>
      <c r="G104" s="139" t="s">
        <v>221</v>
      </c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</row>
    <row r="105" spans="1:20" x14ac:dyDescent="0.25">
      <c r="A105" s="147"/>
      <c r="B105" s="147"/>
      <c r="C105" s="151"/>
      <c r="D105" s="154"/>
      <c r="E105" s="151"/>
      <c r="F105" s="143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</row>
    <row r="106" spans="1:20" x14ac:dyDescent="0.25">
      <c r="A106" s="147"/>
      <c r="B106" s="147"/>
      <c r="C106" s="147"/>
      <c r="D106" s="144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</row>
    <row r="107" spans="1:20" x14ac:dyDescent="0.25">
      <c r="A107" s="148" t="s">
        <v>209</v>
      </c>
      <c r="B107" s="149" t="s">
        <v>210</v>
      </c>
      <c r="C107" s="149" t="s">
        <v>211</v>
      </c>
      <c r="D107" s="152" t="s">
        <v>212</v>
      </c>
      <c r="E107" s="136" t="s">
        <v>213</v>
      </c>
      <c r="F107" s="136" t="s">
        <v>214</v>
      </c>
      <c r="G107" s="136" t="s">
        <v>215</v>
      </c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</row>
    <row r="108" spans="1:20" x14ac:dyDescent="0.25">
      <c r="A108" s="243">
        <v>9</v>
      </c>
      <c r="B108" s="245">
        <v>9158</v>
      </c>
      <c r="C108" s="243" t="s">
        <v>239</v>
      </c>
      <c r="D108" s="153">
        <v>588</v>
      </c>
      <c r="E108" s="140">
        <v>46037</v>
      </c>
      <c r="F108" s="141">
        <v>19084810</v>
      </c>
      <c r="G108" s="139" t="s">
        <v>240</v>
      </c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</row>
    <row r="109" spans="1:20" x14ac:dyDescent="0.25">
      <c r="A109" s="243"/>
      <c r="B109" s="243"/>
      <c r="C109" s="243"/>
      <c r="D109" s="153" t="s">
        <v>221</v>
      </c>
      <c r="E109" s="139" t="s">
        <v>221</v>
      </c>
      <c r="F109" s="139" t="s">
        <v>221</v>
      </c>
      <c r="G109" s="139" t="s">
        <v>221</v>
      </c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</row>
    <row r="110" spans="1:20" x14ac:dyDescent="0.25">
      <c r="A110" s="243"/>
      <c r="B110" s="243"/>
      <c r="C110" s="243"/>
      <c r="D110" s="153" t="s">
        <v>221</v>
      </c>
      <c r="E110" s="139" t="s">
        <v>221</v>
      </c>
      <c r="F110" s="139" t="s">
        <v>221</v>
      </c>
      <c r="G110" s="139" t="s">
        <v>221</v>
      </c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</row>
    <row r="111" spans="1:20" x14ac:dyDescent="0.25">
      <c r="A111" s="243"/>
      <c r="B111" s="243"/>
      <c r="C111" s="243"/>
      <c r="D111" s="153" t="s">
        <v>221</v>
      </c>
      <c r="E111" s="139" t="s">
        <v>221</v>
      </c>
      <c r="F111" s="139" t="s">
        <v>221</v>
      </c>
      <c r="G111" s="139" t="s">
        <v>221</v>
      </c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</row>
    <row r="112" spans="1:20" x14ac:dyDescent="0.25">
      <c r="A112" s="243"/>
      <c r="B112" s="243"/>
      <c r="C112" s="243"/>
      <c r="D112" s="153" t="s">
        <v>221</v>
      </c>
      <c r="E112" s="139" t="s">
        <v>221</v>
      </c>
      <c r="F112" s="139" t="s">
        <v>221</v>
      </c>
      <c r="G112" s="139" t="s">
        <v>221</v>
      </c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</row>
    <row r="113" spans="1:20" x14ac:dyDescent="0.25">
      <c r="A113" s="243"/>
      <c r="B113" s="243"/>
      <c r="C113" s="243"/>
      <c r="D113" s="153" t="s">
        <v>221</v>
      </c>
      <c r="E113" s="139" t="s">
        <v>221</v>
      </c>
      <c r="F113" s="139" t="s">
        <v>221</v>
      </c>
      <c r="G113" s="139" t="s">
        <v>221</v>
      </c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</row>
    <row r="114" spans="1:20" x14ac:dyDescent="0.25">
      <c r="A114" s="243"/>
      <c r="B114" s="243"/>
      <c r="C114" s="243"/>
      <c r="D114" s="153" t="s">
        <v>221</v>
      </c>
      <c r="E114" s="139" t="s">
        <v>221</v>
      </c>
      <c r="F114" s="139" t="s">
        <v>221</v>
      </c>
      <c r="G114" s="139" t="s">
        <v>221</v>
      </c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</row>
    <row r="115" spans="1:20" x14ac:dyDescent="0.25">
      <c r="A115" s="243"/>
      <c r="B115" s="243"/>
      <c r="C115" s="243"/>
      <c r="D115" s="153" t="s">
        <v>221</v>
      </c>
      <c r="E115" s="139" t="s">
        <v>221</v>
      </c>
      <c r="F115" s="139" t="s">
        <v>221</v>
      </c>
      <c r="G115" s="139" t="s">
        <v>221</v>
      </c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</row>
    <row r="116" spans="1:20" x14ac:dyDescent="0.25">
      <c r="A116" s="243"/>
      <c r="B116" s="243"/>
      <c r="C116" s="243"/>
      <c r="D116" s="153" t="s">
        <v>221</v>
      </c>
      <c r="E116" s="139" t="s">
        <v>221</v>
      </c>
      <c r="F116" s="139" t="s">
        <v>221</v>
      </c>
      <c r="G116" s="139" t="s">
        <v>221</v>
      </c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</row>
    <row r="117" spans="1:20" x14ac:dyDescent="0.25">
      <c r="A117" s="243"/>
      <c r="B117" s="243"/>
      <c r="C117" s="243"/>
      <c r="D117" s="153" t="s">
        <v>221</v>
      </c>
      <c r="E117" s="139" t="s">
        <v>221</v>
      </c>
      <c r="F117" s="139" t="s">
        <v>221</v>
      </c>
      <c r="G117" s="139" t="s">
        <v>221</v>
      </c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</row>
    <row r="118" spans="1:20" x14ac:dyDescent="0.25">
      <c r="A118" s="243"/>
      <c r="B118" s="243"/>
      <c r="C118" s="243"/>
      <c r="D118" s="153" t="s">
        <v>221</v>
      </c>
      <c r="E118" s="139" t="s">
        <v>221</v>
      </c>
      <c r="F118" s="139" t="s">
        <v>221</v>
      </c>
      <c r="G118" s="139" t="s">
        <v>221</v>
      </c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</row>
    <row r="119" spans="1:20" x14ac:dyDescent="0.25">
      <c r="A119" s="244"/>
      <c r="B119" s="246"/>
      <c r="C119" s="244"/>
      <c r="D119" s="153" t="s">
        <v>221</v>
      </c>
      <c r="E119" s="139" t="s">
        <v>221</v>
      </c>
      <c r="F119" s="139" t="s">
        <v>221</v>
      </c>
      <c r="G119" s="139" t="s">
        <v>221</v>
      </c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</row>
    <row r="120" spans="1:20" x14ac:dyDescent="0.25">
      <c r="A120" s="147"/>
      <c r="B120" s="147"/>
      <c r="C120" s="151"/>
      <c r="D120" s="154"/>
      <c r="E120" s="151"/>
      <c r="F120" s="143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</row>
    <row r="121" spans="1:20" x14ac:dyDescent="0.25">
      <c r="A121" s="147"/>
      <c r="B121" s="147"/>
      <c r="C121" s="146"/>
      <c r="D121" s="144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</row>
    <row r="122" spans="1:20" x14ac:dyDescent="0.25">
      <c r="A122" s="147"/>
      <c r="B122" s="147"/>
      <c r="C122" s="147"/>
      <c r="D122" s="144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</row>
    <row r="123" spans="1:20" x14ac:dyDescent="0.25">
      <c r="A123" s="148" t="s">
        <v>209</v>
      </c>
      <c r="B123" s="149" t="s">
        <v>210</v>
      </c>
      <c r="C123" s="149" t="s">
        <v>211</v>
      </c>
      <c r="D123" s="152" t="s">
        <v>212</v>
      </c>
      <c r="E123" s="136" t="s">
        <v>213</v>
      </c>
      <c r="F123" s="136" t="s">
        <v>214</v>
      </c>
      <c r="G123" s="136" t="s">
        <v>215</v>
      </c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</row>
    <row r="124" spans="1:20" x14ac:dyDescent="0.25">
      <c r="A124" s="243">
        <v>10</v>
      </c>
      <c r="B124" s="245">
        <v>9159</v>
      </c>
      <c r="C124" s="243" t="s">
        <v>241</v>
      </c>
      <c r="D124" s="153">
        <v>589</v>
      </c>
      <c r="E124" s="140">
        <v>46037</v>
      </c>
      <c r="F124" s="141">
        <v>12981292</v>
      </c>
      <c r="G124" s="139" t="s">
        <v>242</v>
      </c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</row>
    <row r="125" spans="1:20" x14ac:dyDescent="0.25">
      <c r="A125" s="243"/>
      <c r="B125" s="243"/>
      <c r="C125" s="243"/>
      <c r="D125" s="153" t="s">
        <v>221</v>
      </c>
      <c r="E125" s="139" t="s">
        <v>221</v>
      </c>
      <c r="F125" s="139" t="s">
        <v>221</v>
      </c>
      <c r="G125" s="139" t="s">
        <v>221</v>
      </c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</row>
    <row r="126" spans="1:20" x14ac:dyDescent="0.25">
      <c r="A126" s="243"/>
      <c r="B126" s="243"/>
      <c r="C126" s="243"/>
      <c r="D126" s="153" t="s">
        <v>221</v>
      </c>
      <c r="E126" s="139" t="s">
        <v>221</v>
      </c>
      <c r="F126" s="139" t="s">
        <v>221</v>
      </c>
      <c r="G126" s="139" t="s">
        <v>221</v>
      </c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</row>
    <row r="127" spans="1:20" x14ac:dyDescent="0.25">
      <c r="A127" s="243"/>
      <c r="B127" s="243"/>
      <c r="C127" s="243"/>
      <c r="D127" s="153" t="s">
        <v>221</v>
      </c>
      <c r="E127" s="139" t="s">
        <v>221</v>
      </c>
      <c r="F127" s="139" t="s">
        <v>221</v>
      </c>
      <c r="G127" s="139" t="s">
        <v>221</v>
      </c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</row>
    <row r="128" spans="1:20" x14ac:dyDescent="0.25">
      <c r="A128" s="243"/>
      <c r="B128" s="243"/>
      <c r="C128" s="243"/>
      <c r="D128" s="153" t="s">
        <v>221</v>
      </c>
      <c r="E128" s="139" t="s">
        <v>221</v>
      </c>
      <c r="F128" s="139" t="s">
        <v>221</v>
      </c>
      <c r="G128" s="139" t="s">
        <v>221</v>
      </c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</row>
    <row r="129" spans="1:20" x14ac:dyDescent="0.25">
      <c r="A129" s="243"/>
      <c r="B129" s="243"/>
      <c r="C129" s="243"/>
      <c r="D129" s="153" t="s">
        <v>221</v>
      </c>
      <c r="E129" s="139" t="s">
        <v>221</v>
      </c>
      <c r="F129" s="139" t="s">
        <v>221</v>
      </c>
      <c r="G129" s="139" t="s">
        <v>221</v>
      </c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</row>
    <row r="130" spans="1:20" x14ac:dyDescent="0.25">
      <c r="A130" s="243"/>
      <c r="B130" s="243"/>
      <c r="C130" s="243"/>
      <c r="D130" s="153" t="s">
        <v>221</v>
      </c>
      <c r="E130" s="139" t="s">
        <v>221</v>
      </c>
      <c r="F130" s="139" t="s">
        <v>221</v>
      </c>
      <c r="G130" s="139" t="s">
        <v>221</v>
      </c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</row>
    <row r="131" spans="1:20" x14ac:dyDescent="0.25">
      <c r="A131" s="243"/>
      <c r="B131" s="243"/>
      <c r="C131" s="243"/>
      <c r="D131" s="153" t="s">
        <v>221</v>
      </c>
      <c r="E131" s="139" t="s">
        <v>221</v>
      </c>
      <c r="F131" s="139" t="s">
        <v>221</v>
      </c>
      <c r="G131" s="139" t="s">
        <v>221</v>
      </c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</row>
    <row r="132" spans="1:20" x14ac:dyDescent="0.25">
      <c r="A132" s="243"/>
      <c r="B132" s="243"/>
      <c r="C132" s="243"/>
      <c r="D132" s="153" t="s">
        <v>221</v>
      </c>
      <c r="E132" s="139" t="s">
        <v>221</v>
      </c>
      <c r="F132" s="139" t="s">
        <v>221</v>
      </c>
      <c r="G132" s="139" t="s">
        <v>221</v>
      </c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</row>
    <row r="133" spans="1:20" x14ac:dyDescent="0.25">
      <c r="A133" s="243"/>
      <c r="B133" s="243"/>
      <c r="C133" s="243"/>
      <c r="D133" s="153" t="s">
        <v>221</v>
      </c>
      <c r="E133" s="139" t="s">
        <v>221</v>
      </c>
      <c r="F133" s="139" t="s">
        <v>221</v>
      </c>
      <c r="G133" s="139" t="s">
        <v>221</v>
      </c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</row>
    <row r="134" spans="1:20" x14ac:dyDescent="0.25">
      <c r="A134" s="243"/>
      <c r="B134" s="243"/>
      <c r="C134" s="243"/>
      <c r="D134" s="153" t="s">
        <v>221</v>
      </c>
      <c r="E134" s="139" t="s">
        <v>221</v>
      </c>
      <c r="F134" s="139" t="s">
        <v>221</v>
      </c>
      <c r="G134" s="139" t="s">
        <v>221</v>
      </c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</row>
    <row r="135" spans="1:20" x14ac:dyDescent="0.25">
      <c r="A135" s="244"/>
      <c r="B135" s="246"/>
      <c r="C135" s="244"/>
      <c r="D135" s="153" t="s">
        <v>221</v>
      </c>
      <c r="E135" s="139" t="s">
        <v>221</v>
      </c>
      <c r="F135" s="139" t="s">
        <v>221</v>
      </c>
      <c r="G135" s="139" t="s">
        <v>221</v>
      </c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</row>
    <row r="136" spans="1:20" x14ac:dyDescent="0.25">
      <c r="A136" s="147"/>
      <c r="B136" s="147"/>
      <c r="C136" s="151"/>
      <c r="D136" s="154"/>
      <c r="E136" s="151"/>
      <c r="F136" s="143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</row>
    <row r="137" spans="1:20" x14ac:dyDescent="0.25">
      <c r="A137" s="147"/>
      <c r="B137" s="147"/>
      <c r="C137" s="147"/>
      <c r="D137" s="144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</row>
    <row r="138" spans="1:20" x14ac:dyDescent="0.25">
      <c r="A138" s="147"/>
      <c r="B138" s="147"/>
      <c r="C138" s="147"/>
      <c r="D138" s="144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</row>
    <row r="139" spans="1:20" x14ac:dyDescent="0.25">
      <c r="A139" s="148" t="s">
        <v>209</v>
      </c>
      <c r="B139" s="149" t="s">
        <v>210</v>
      </c>
      <c r="C139" s="149" t="s">
        <v>211</v>
      </c>
      <c r="D139" s="152" t="s">
        <v>212</v>
      </c>
      <c r="E139" s="136" t="s">
        <v>213</v>
      </c>
      <c r="F139" s="136" t="s">
        <v>214</v>
      </c>
      <c r="G139" s="136" t="s">
        <v>215</v>
      </c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</row>
    <row r="140" spans="1:20" x14ac:dyDescent="0.25">
      <c r="A140" s="243">
        <v>11</v>
      </c>
      <c r="B140" s="245">
        <v>9160</v>
      </c>
      <c r="C140" s="243" t="s">
        <v>243</v>
      </c>
      <c r="D140" s="153">
        <v>590</v>
      </c>
      <c r="E140" s="140">
        <v>46037</v>
      </c>
      <c r="F140" s="141">
        <v>6897079</v>
      </c>
      <c r="G140" s="139" t="s">
        <v>244</v>
      </c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</row>
    <row r="141" spans="1:20" x14ac:dyDescent="0.25">
      <c r="A141" s="243"/>
      <c r="B141" s="243"/>
      <c r="C141" s="243"/>
      <c r="D141" s="153" t="s">
        <v>221</v>
      </c>
      <c r="E141" s="139" t="s">
        <v>221</v>
      </c>
      <c r="F141" s="139" t="s">
        <v>221</v>
      </c>
      <c r="G141" s="139" t="s">
        <v>221</v>
      </c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</row>
    <row r="142" spans="1:20" x14ac:dyDescent="0.25">
      <c r="A142" s="243"/>
      <c r="B142" s="243"/>
      <c r="C142" s="243"/>
      <c r="D142" s="153" t="s">
        <v>221</v>
      </c>
      <c r="E142" s="139" t="s">
        <v>221</v>
      </c>
      <c r="F142" s="139" t="s">
        <v>221</v>
      </c>
      <c r="G142" s="139" t="s">
        <v>221</v>
      </c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</row>
    <row r="143" spans="1:20" x14ac:dyDescent="0.25">
      <c r="A143" s="243"/>
      <c r="B143" s="243"/>
      <c r="C143" s="243"/>
      <c r="D143" s="153" t="s">
        <v>221</v>
      </c>
      <c r="E143" s="139" t="s">
        <v>221</v>
      </c>
      <c r="F143" s="139" t="s">
        <v>221</v>
      </c>
      <c r="G143" s="139" t="s">
        <v>221</v>
      </c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</row>
    <row r="144" spans="1:20" x14ac:dyDescent="0.25">
      <c r="A144" s="243"/>
      <c r="B144" s="243"/>
      <c r="C144" s="243"/>
      <c r="D144" s="153" t="s">
        <v>221</v>
      </c>
      <c r="E144" s="139" t="s">
        <v>221</v>
      </c>
      <c r="F144" s="139" t="s">
        <v>221</v>
      </c>
      <c r="G144" s="139" t="s">
        <v>221</v>
      </c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</row>
    <row r="145" spans="1:20" x14ac:dyDescent="0.25">
      <c r="A145" s="243"/>
      <c r="B145" s="243"/>
      <c r="C145" s="243"/>
      <c r="D145" s="153" t="s">
        <v>221</v>
      </c>
      <c r="E145" s="139" t="s">
        <v>221</v>
      </c>
      <c r="F145" s="139" t="s">
        <v>221</v>
      </c>
      <c r="G145" s="139" t="s">
        <v>221</v>
      </c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</row>
    <row r="146" spans="1:20" x14ac:dyDescent="0.25">
      <c r="A146" s="243"/>
      <c r="B146" s="243"/>
      <c r="C146" s="243"/>
      <c r="D146" s="153" t="s">
        <v>221</v>
      </c>
      <c r="E146" s="139" t="s">
        <v>221</v>
      </c>
      <c r="F146" s="139" t="s">
        <v>221</v>
      </c>
      <c r="G146" s="139" t="s">
        <v>221</v>
      </c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</row>
    <row r="147" spans="1:20" x14ac:dyDescent="0.25">
      <c r="A147" s="243"/>
      <c r="B147" s="243"/>
      <c r="C147" s="243"/>
      <c r="D147" s="153" t="s">
        <v>221</v>
      </c>
      <c r="E147" s="139" t="s">
        <v>221</v>
      </c>
      <c r="F147" s="139" t="s">
        <v>221</v>
      </c>
      <c r="G147" s="139" t="s">
        <v>221</v>
      </c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</row>
    <row r="148" spans="1:20" x14ac:dyDescent="0.25">
      <c r="A148" s="243"/>
      <c r="B148" s="243"/>
      <c r="C148" s="243"/>
      <c r="D148" s="153" t="s">
        <v>221</v>
      </c>
      <c r="E148" s="139" t="s">
        <v>221</v>
      </c>
      <c r="F148" s="139" t="s">
        <v>221</v>
      </c>
      <c r="G148" s="139" t="s">
        <v>221</v>
      </c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</row>
    <row r="149" spans="1:20" x14ac:dyDescent="0.25">
      <c r="A149" s="243"/>
      <c r="B149" s="243"/>
      <c r="C149" s="243"/>
      <c r="D149" s="153" t="s">
        <v>221</v>
      </c>
      <c r="E149" s="139" t="s">
        <v>221</v>
      </c>
      <c r="F149" s="139" t="s">
        <v>221</v>
      </c>
      <c r="G149" s="139" t="s">
        <v>221</v>
      </c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</row>
    <row r="150" spans="1:20" x14ac:dyDescent="0.25">
      <c r="A150" s="243"/>
      <c r="B150" s="243"/>
      <c r="C150" s="243"/>
      <c r="D150" s="153" t="s">
        <v>221</v>
      </c>
      <c r="E150" s="139" t="s">
        <v>221</v>
      </c>
      <c r="F150" s="139" t="s">
        <v>221</v>
      </c>
      <c r="G150" s="139" t="s">
        <v>221</v>
      </c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</row>
    <row r="151" spans="1:20" x14ac:dyDescent="0.25">
      <c r="A151" s="244"/>
      <c r="B151" s="246"/>
      <c r="C151" s="244"/>
      <c r="D151" s="153" t="s">
        <v>221</v>
      </c>
      <c r="E151" s="139" t="s">
        <v>221</v>
      </c>
      <c r="F151" s="139" t="s">
        <v>221</v>
      </c>
      <c r="G151" s="139" t="s">
        <v>221</v>
      </c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</row>
    <row r="152" spans="1:20" x14ac:dyDescent="0.25">
      <c r="A152" s="147"/>
      <c r="B152" s="147"/>
      <c r="C152" s="151"/>
      <c r="D152" s="154"/>
      <c r="E152" s="151"/>
      <c r="F152" s="143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</row>
    <row r="153" spans="1:20" x14ac:dyDescent="0.25">
      <c r="A153" s="147"/>
      <c r="B153" s="147"/>
      <c r="C153" s="147"/>
      <c r="D153" s="144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</row>
    <row r="154" spans="1:20" x14ac:dyDescent="0.25">
      <c r="A154" s="147"/>
      <c r="B154" s="147"/>
      <c r="C154" s="147"/>
      <c r="D154" s="144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</row>
    <row r="155" spans="1:20" x14ac:dyDescent="0.25">
      <c r="A155" s="148" t="s">
        <v>209</v>
      </c>
      <c r="B155" s="149" t="s">
        <v>210</v>
      </c>
      <c r="C155" s="149" t="s">
        <v>211</v>
      </c>
      <c r="D155" s="152" t="s">
        <v>212</v>
      </c>
      <c r="E155" s="136" t="s">
        <v>213</v>
      </c>
      <c r="F155" s="136" t="s">
        <v>214</v>
      </c>
      <c r="G155" s="136" t="s">
        <v>215</v>
      </c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</row>
    <row r="156" spans="1:20" x14ac:dyDescent="0.25">
      <c r="A156" s="248" t="s">
        <v>245</v>
      </c>
      <c r="B156" s="247" t="s">
        <v>246</v>
      </c>
      <c r="C156" s="243" t="s">
        <v>247</v>
      </c>
      <c r="D156" s="153">
        <v>100</v>
      </c>
      <c r="E156" s="140">
        <v>46027</v>
      </c>
      <c r="F156" s="141">
        <v>15556055</v>
      </c>
      <c r="G156" s="139" t="s">
        <v>248</v>
      </c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</row>
    <row r="157" spans="1:20" x14ac:dyDescent="0.25">
      <c r="A157" s="248"/>
      <c r="B157" s="248"/>
      <c r="C157" s="243"/>
      <c r="D157" s="153" t="s">
        <v>221</v>
      </c>
      <c r="E157" s="139" t="s">
        <v>221</v>
      </c>
      <c r="F157" s="139" t="s">
        <v>221</v>
      </c>
      <c r="G157" s="139" t="s">
        <v>221</v>
      </c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</row>
    <row r="158" spans="1:20" x14ac:dyDescent="0.25">
      <c r="A158" s="248"/>
      <c r="B158" s="248"/>
      <c r="C158" s="243"/>
      <c r="D158" s="153" t="s">
        <v>221</v>
      </c>
      <c r="E158" s="139" t="s">
        <v>221</v>
      </c>
      <c r="F158" s="139" t="s">
        <v>221</v>
      </c>
      <c r="G158" s="139" t="s">
        <v>221</v>
      </c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</row>
    <row r="159" spans="1:20" x14ac:dyDescent="0.25">
      <c r="A159" s="248"/>
      <c r="B159" s="248"/>
      <c r="C159" s="243"/>
      <c r="D159" s="153" t="s">
        <v>221</v>
      </c>
      <c r="E159" s="139" t="s">
        <v>221</v>
      </c>
      <c r="F159" s="139" t="s">
        <v>221</v>
      </c>
      <c r="G159" s="139" t="s">
        <v>221</v>
      </c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</row>
    <row r="160" spans="1:20" x14ac:dyDescent="0.25">
      <c r="A160" s="248"/>
      <c r="B160" s="248"/>
      <c r="C160" s="243"/>
      <c r="D160" s="153" t="s">
        <v>221</v>
      </c>
      <c r="E160" s="139" t="s">
        <v>221</v>
      </c>
      <c r="F160" s="139" t="s">
        <v>221</v>
      </c>
      <c r="G160" s="139" t="s">
        <v>221</v>
      </c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</row>
    <row r="161" spans="1:20" x14ac:dyDescent="0.25">
      <c r="A161" s="248"/>
      <c r="B161" s="248"/>
      <c r="C161" s="243"/>
      <c r="D161" s="153" t="s">
        <v>221</v>
      </c>
      <c r="E161" s="139" t="s">
        <v>221</v>
      </c>
      <c r="F161" s="139" t="s">
        <v>221</v>
      </c>
      <c r="G161" s="139" t="s">
        <v>221</v>
      </c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</row>
    <row r="162" spans="1:20" x14ac:dyDescent="0.25">
      <c r="A162" s="248"/>
      <c r="B162" s="248"/>
      <c r="C162" s="243"/>
      <c r="D162" s="153" t="s">
        <v>221</v>
      </c>
      <c r="E162" s="139" t="s">
        <v>221</v>
      </c>
      <c r="F162" s="139" t="s">
        <v>221</v>
      </c>
      <c r="G162" s="139" t="s">
        <v>221</v>
      </c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</row>
    <row r="163" spans="1:20" x14ac:dyDescent="0.25">
      <c r="A163" s="248"/>
      <c r="B163" s="248"/>
      <c r="C163" s="243"/>
      <c r="D163" s="153" t="s">
        <v>221</v>
      </c>
      <c r="E163" s="139" t="s">
        <v>221</v>
      </c>
      <c r="F163" s="139" t="s">
        <v>221</v>
      </c>
      <c r="G163" s="139" t="s">
        <v>221</v>
      </c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</row>
    <row r="164" spans="1:20" x14ac:dyDescent="0.25">
      <c r="A164" s="248"/>
      <c r="B164" s="248"/>
      <c r="C164" s="243"/>
      <c r="D164" s="153" t="s">
        <v>221</v>
      </c>
      <c r="E164" s="139" t="s">
        <v>221</v>
      </c>
      <c r="F164" s="139" t="s">
        <v>221</v>
      </c>
      <c r="G164" s="139" t="s">
        <v>221</v>
      </c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</row>
    <row r="165" spans="1:20" x14ac:dyDescent="0.25">
      <c r="A165" s="248"/>
      <c r="B165" s="248"/>
      <c r="C165" s="243"/>
      <c r="D165" s="153" t="s">
        <v>221</v>
      </c>
      <c r="E165" s="139" t="s">
        <v>221</v>
      </c>
      <c r="F165" s="139" t="s">
        <v>221</v>
      </c>
      <c r="G165" s="139" t="s">
        <v>221</v>
      </c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</row>
    <row r="166" spans="1:20" x14ac:dyDescent="0.25">
      <c r="A166" s="248"/>
      <c r="B166" s="248"/>
      <c r="C166" s="243"/>
      <c r="D166" s="153" t="s">
        <v>221</v>
      </c>
      <c r="E166" s="139" t="s">
        <v>221</v>
      </c>
      <c r="F166" s="139" t="s">
        <v>221</v>
      </c>
      <c r="G166" s="139" t="s">
        <v>221</v>
      </c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</row>
    <row r="167" spans="1:20" x14ac:dyDescent="0.25">
      <c r="A167" s="251"/>
      <c r="B167" s="249"/>
      <c r="C167" s="244"/>
      <c r="D167" s="153" t="s">
        <v>221</v>
      </c>
      <c r="E167" s="139" t="s">
        <v>221</v>
      </c>
      <c r="F167" s="139" t="s">
        <v>221</v>
      </c>
      <c r="G167" s="139" t="s">
        <v>221</v>
      </c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</row>
    <row r="168" spans="1:20" x14ac:dyDescent="0.25">
      <c r="A168" s="147"/>
      <c r="B168" s="147"/>
      <c r="C168" s="151"/>
      <c r="D168" s="154"/>
      <c r="E168" s="151"/>
      <c r="F168" s="143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</row>
    <row r="169" spans="1:20" x14ac:dyDescent="0.25">
      <c r="A169" s="147"/>
      <c r="B169" s="147"/>
      <c r="C169" s="147"/>
      <c r="D169" s="144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</row>
    <row r="170" spans="1:20" x14ac:dyDescent="0.25">
      <c r="A170" s="148" t="s">
        <v>221</v>
      </c>
      <c r="B170" s="149" t="s">
        <v>221</v>
      </c>
      <c r="C170" s="149" t="s">
        <v>221</v>
      </c>
      <c r="D170" s="152" t="s">
        <v>221</v>
      </c>
      <c r="E170" s="136" t="s">
        <v>221</v>
      </c>
      <c r="F170" s="136" t="s">
        <v>221</v>
      </c>
      <c r="G170" s="136" t="s">
        <v>221</v>
      </c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</row>
    <row r="171" spans="1:20" x14ac:dyDescent="0.25">
      <c r="A171" s="243">
        <v>15</v>
      </c>
      <c r="B171" s="245">
        <v>107119</v>
      </c>
      <c r="C171" s="243" t="s">
        <v>249</v>
      </c>
      <c r="D171" s="153">
        <v>299</v>
      </c>
      <c r="E171" s="140">
        <v>46030</v>
      </c>
      <c r="F171" s="141">
        <v>2341574</v>
      </c>
      <c r="G171" s="139" t="s">
        <v>250</v>
      </c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</row>
    <row r="172" spans="1:20" x14ac:dyDescent="0.25">
      <c r="A172" s="243"/>
      <c r="B172" s="243"/>
      <c r="C172" s="243"/>
      <c r="D172" s="153">
        <v>301</v>
      </c>
      <c r="E172" s="140">
        <v>46030</v>
      </c>
      <c r="F172" s="139">
        <v>7054606</v>
      </c>
      <c r="G172" s="139" t="s">
        <v>251</v>
      </c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</row>
    <row r="173" spans="1:20" x14ac:dyDescent="0.25">
      <c r="A173" s="243"/>
      <c r="B173" s="243"/>
      <c r="C173" s="243"/>
      <c r="D173" s="153" t="s">
        <v>221</v>
      </c>
      <c r="E173" s="139" t="s">
        <v>221</v>
      </c>
      <c r="F173" s="139" t="s">
        <v>221</v>
      </c>
      <c r="G173" s="139" t="s">
        <v>221</v>
      </c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</row>
    <row r="174" spans="1:20" x14ac:dyDescent="0.25">
      <c r="A174" s="243"/>
      <c r="B174" s="243"/>
      <c r="C174" s="243"/>
      <c r="D174" s="153" t="s">
        <v>221</v>
      </c>
      <c r="E174" s="139" t="s">
        <v>221</v>
      </c>
      <c r="F174" s="139" t="s">
        <v>221</v>
      </c>
      <c r="G174" s="139" t="s">
        <v>221</v>
      </c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</row>
    <row r="175" spans="1:20" x14ac:dyDescent="0.25">
      <c r="A175" s="243"/>
      <c r="B175" s="243"/>
      <c r="C175" s="243"/>
      <c r="D175" s="153" t="s">
        <v>221</v>
      </c>
      <c r="E175" s="139" t="s">
        <v>221</v>
      </c>
      <c r="F175" s="139" t="s">
        <v>221</v>
      </c>
      <c r="G175" s="139" t="s">
        <v>221</v>
      </c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</row>
    <row r="176" spans="1:20" x14ac:dyDescent="0.25">
      <c r="A176" s="243"/>
      <c r="B176" s="243"/>
      <c r="C176" s="243"/>
      <c r="D176" s="153" t="s">
        <v>221</v>
      </c>
      <c r="E176" s="139" t="s">
        <v>221</v>
      </c>
      <c r="F176" s="139" t="s">
        <v>221</v>
      </c>
      <c r="G176" s="139" t="s">
        <v>221</v>
      </c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</row>
    <row r="177" spans="1:20" x14ac:dyDescent="0.25">
      <c r="A177" s="243"/>
      <c r="B177" s="243"/>
      <c r="C177" s="243"/>
      <c r="D177" s="153" t="s">
        <v>221</v>
      </c>
      <c r="E177" s="139" t="s">
        <v>221</v>
      </c>
      <c r="F177" s="139" t="s">
        <v>221</v>
      </c>
      <c r="G177" s="139" t="s">
        <v>221</v>
      </c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</row>
    <row r="178" spans="1:20" x14ac:dyDescent="0.25">
      <c r="A178" s="243"/>
      <c r="B178" s="243"/>
      <c r="C178" s="243"/>
      <c r="D178" s="153" t="s">
        <v>221</v>
      </c>
      <c r="E178" s="139" t="s">
        <v>221</v>
      </c>
      <c r="F178" s="139" t="s">
        <v>221</v>
      </c>
      <c r="G178" s="139" t="s">
        <v>221</v>
      </c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</row>
    <row r="179" spans="1:20" x14ac:dyDescent="0.25">
      <c r="A179" s="243"/>
      <c r="B179" s="243"/>
      <c r="C179" s="243"/>
      <c r="D179" s="153" t="s">
        <v>221</v>
      </c>
      <c r="E179" s="139" t="s">
        <v>221</v>
      </c>
      <c r="F179" s="139" t="s">
        <v>221</v>
      </c>
      <c r="G179" s="139" t="s">
        <v>221</v>
      </c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</row>
    <row r="180" spans="1:20" x14ac:dyDescent="0.25">
      <c r="A180" s="243"/>
      <c r="B180" s="243"/>
      <c r="C180" s="243"/>
      <c r="D180" s="153" t="s">
        <v>221</v>
      </c>
      <c r="E180" s="139" t="s">
        <v>221</v>
      </c>
      <c r="F180" s="139" t="s">
        <v>221</v>
      </c>
      <c r="G180" s="139" t="s">
        <v>221</v>
      </c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</row>
    <row r="181" spans="1:20" x14ac:dyDescent="0.25">
      <c r="A181" s="243"/>
      <c r="B181" s="243"/>
      <c r="C181" s="243"/>
      <c r="D181" s="153" t="s">
        <v>221</v>
      </c>
      <c r="E181" s="139" t="s">
        <v>221</v>
      </c>
      <c r="F181" s="139" t="s">
        <v>221</v>
      </c>
      <c r="G181" s="139" t="s">
        <v>221</v>
      </c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</row>
    <row r="182" spans="1:20" x14ac:dyDescent="0.25">
      <c r="A182" s="244"/>
      <c r="B182" s="246"/>
      <c r="C182" s="244"/>
      <c r="D182" s="153" t="s">
        <v>221</v>
      </c>
      <c r="E182" s="139" t="s">
        <v>221</v>
      </c>
      <c r="F182" s="139" t="s">
        <v>221</v>
      </c>
      <c r="G182" s="139" t="s">
        <v>221</v>
      </c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</row>
    <row r="183" spans="1:20" x14ac:dyDescent="0.25">
      <c r="A183" s="147"/>
      <c r="B183" s="147"/>
      <c r="C183" s="151"/>
      <c r="D183" s="154"/>
      <c r="E183" s="151"/>
      <c r="F183" s="143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</row>
    <row r="184" spans="1:20" x14ac:dyDescent="0.25">
      <c r="A184" s="147"/>
      <c r="B184" s="147"/>
      <c r="C184" s="147"/>
      <c r="D184" s="144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</row>
    <row r="185" spans="1:20" x14ac:dyDescent="0.25">
      <c r="A185" s="147"/>
      <c r="B185" s="147"/>
      <c r="C185" s="147"/>
      <c r="D185" s="144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</row>
    <row r="186" spans="1:20" x14ac:dyDescent="0.25">
      <c r="A186" s="148" t="s">
        <v>209</v>
      </c>
      <c r="B186" s="149" t="s">
        <v>210</v>
      </c>
      <c r="C186" s="149" t="s">
        <v>211</v>
      </c>
      <c r="D186" s="152" t="s">
        <v>212</v>
      </c>
      <c r="E186" s="136" t="s">
        <v>213</v>
      </c>
      <c r="F186" s="136" t="s">
        <v>214</v>
      </c>
      <c r="G186" s="136" t="s">
        <v>215</v>
      </c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</row>
    <row r="187" spans="1:20" x14ac:dyDescent="0.25">
      <c r="A187" s="243">
        <v>16</v>
      </c>
      <c r="B187" s="245">
        <v>105226</v>
      </c>
      <c r="C187" s="243" t="s">
        <v>252</v>
      </c>
      <c r="D187" s="153">
        <v>298</v>
      </c>
      <c r="E187" s="140">
        <v>46030</v>
      </c>
      <c r="F187" s="141">
        <v>14908283</v>
      </c>
      <c r="G187" s="139" t="s">
        <v>253</v>
      </c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</row>
    <row r="188" spans="1:20" x14ac:dyDescent="0.25">
      <c r="A188" s="243"/>
      <c r="B188" s="243"/>
      <c r="C188" s="243"/>
      <c r="D188" s="153">
        <v>300</v>
      </c>
      <c r="E188" s="140">
        <v>46030</v>
      </c>
      <c r="F188" s="139">
        <v>9916486</v>
      </c>
      <c r="G188" s="139" t="s">
        <v>254</v>
      </c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</row>
    <row r="189" spans="1:20" x14ac:dyDescent="0.25">
      <c r="A189" s="243"/>
      <c r="B189" s="243"/>
      <c r="C189" s="243"/>
      <c r="D189" s="153" t="s">
        <v>221</v>
      </c>
      <c r="E189" s="139" t="s">
        <v>221</v>
      </c>
      <c r="F189" s="139" t="s">
        <v>221</v>
      </c>
      <c r="G189" s="139" t="s">
        <v>221</v>
      </c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</row>
    <row r="190" spans="1:20" x14ac:dyDescent="0.25">
      <c r="A190" s="243"/>
      <c r="B190" s="243"/>
      <c r="C190" s="243"/>
      <c r="D190" s="153" t="s">
        <v>221</v>
      </c>
      <c r="E190" s="139" t="s">
        <v>221</v>
      </c>
      <c r="F190" s="139" t="s">
        <v>221</v>
      </c>
      <c r="G190" s="139" t="s">
        <v>221</v>
      </c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</row>
    <row r="191" spans="1:20" x14ac:dyDescent="0.25">
      <c r="A191" s="243"/>
      <c r="B191" s="243"/>
      <c r="C191" s="243"/>
      <c r="D191" s="153" t="s">
        <v>221</v>
      </c>
      <c r="E191" s="139" t="s">
        <v>221</v>
      </c>
      <c r="F191" s="139" t="s">
        <v>221</v>
      </c>
      <c r="G191" s="139" t="s">
        <v>221</v>
      </c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</row>
    <row r="192" spans="1:20" x14ac:dyDescent="0.25">
      <c r="A192" s="243"/>
      <c r="B192" s="243"/>
      <c r="C192" s="243"/>
      <c r="D192" s="153" t="s">
        <v>221</v>
      </c>
      <c r="E192" s="139" t="s">
        <v>221</v>
      </c>
      <c r="F192" s="139" t="s">
        <v>221</v>
      </c>
      <c r="G192" s="139" t="s">
        <v>221</v>
      </c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</row>
    <row r="193" spans="1:20" x14ac:dyDescent="0.25">
      <c r="A193" s="243"/>
      <c r="B193" s="243"/>
      <c r="C193" s="243"/>
      <c r="D193" s="153" t="s">
        <v>221</v>
      </c>
      <c r="E193" s="139" t="s">
        <v>221</v>
      </c>
      <c r="F193" s="139" t="s">
        <v>221</v>
      </c>
      <c r="G193" s="139" t="s">
        <v>221</v>
      </c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</row>
    <row r="194" spans="1:20" x14ac:dyDescent="0.25">
      <c r="A194" s="243"/>
      <c r="B194" s="243"/>
      <c r="C194" s="243"/>
      <c r="D194" s="153" t="s">
        <v>221</v>
      </c>
      <c r="E194" s="139" t="s">
        <v>221</v>
      </c>
      <c r="F194" s="139" t="s">
        <v>221</v>
      </c>
      <c r="G194" s="139" t="s">
        <v>221</v>
      </c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</row>
    <row r="195" spans="1:20" x14ac:dyDescent="0.25">
      <c r="A195" s="243"/>
      <c r="B195" s="243"/>
      <c r="C195" s="243"/>
      <c r="D195" s="153" t="s">
        <v>221</v>
      </c>
      <c r="E195" s="139" t="s">
        <v>221</v>
      </c>
      <c r="F195" s="139" t="s">
        <v>221</v>
      </c>
      <c r="G195" s="139" t="s">
        <v>221</v>
      </c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</row>
    <row r="196" spans="1:20" x14ac:dyDescent="0.25">
      <c r="A196" s="243"/>
      <c r="B196" s="243"/>
      <c r="C196" s="243"/>
      <c r="D196" s="153" t="s">
        <v>221</v>
      </c>
      <c r="E196" s="139" t="s">
        <v>221</v>
      </c>
      <c r="F196" s="139" t="s">
        <v>221</v>
      </c>
      <c r="G196" s="139" t="s">
        <v>221</v>
      </c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</row>
    <row r="197" spans="1:20" x14ac:dyDescent="0.25">
      <c r="A197" s="243"/>
      <c r="B197" s="243"/>
      <c r="C197" s="243"/>
      <c r="D197" s="153" t="s">
        <v>221</v>
      </c>
      <c r="E197" s="139" t="s">
        <v>221</v>
      </c>
      <c r="F197" s="139" t="s">
        <v>221</v>
      </c>
      <c r="G197" s="139" t="s">
        <v>221</v>
      </c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</row>
    <row r="198" spans="1:20" x14ac:dyDescent="0.25">
      <c r="A198" s="244"/>
      <c r="B198" s="246"/>
      <c r="C198" s="244"/>
      <c r="D198" s="153" t="s">
        <v>221</v>
      </c>
      <c r="E198" s="139" t="s">
        <v>221</v>
      </c>
      <c r="F198" s="139" t="s">
        <v>221</v>
      </c>
      <c r="G198" s="139" t="s">
        <v>221</v>
      </c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</row>
    <row r="199" spans="1:20" x14ac:dyDescent="0.25">
      <c r="A199" s="147"/>
      <c r="B199" s="147"/>
      <c r="C199" s="151"/>
      <c r="D199" s="154"/>
      <c r="E199" s="151"/>
      <c r="F199" s="143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</row>
    <row r="200" spans="1:20" x14ac:dyDescent="0.25">
      <c r="A200" s="147"/>
      <c r="B200" s="147"/>
      <c r="C200" s="147"/>
      <c r="D200" s="144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</row>
    <row r="201" spans="1:20" x14ac:dyDescent="0.25">
      <c r="A201" s="148" t="s">
        <v>209</v>
      </c>
      <c r="B201" s="149" t="s">
        <v>210</v>
      </c>
      <c r="C201" s="149" t="s">
        <v>211</v>
      </c>
      <c r="D201" s="152" t="s">
        <v>212</v>
      </c>
      <c r="E201" s="136" t="s">
        <v>213</v>
      </c>
      <c r="F201" s="136" t="s">
        <v>214</v>
      </c>
      <c r="G201" s="136" t="s">
        <v>215</v>
      </c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</row>
    <row r="202" spans="1:20" x14ac:dyDescent="0.25">
      <c r="A202" s="248" t="s">
        <v>255</v>
      </c>
      <c r="B202" s="245">
        <v>121667</v>
      </c>
      <c r="C202" s="243" t="s">
        <v>256</v>
      </c>
      <c r="D202" s="153">
        <v>794</v>
      </c>
      <c r="E202" s="140">
        <v>46042</v>
      </c>
      <c r="F202" s="141">
        <v>665933</v>
      </c>
      <c r="G202" s="139" t="s">
        <v>257</v>
      </c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</row>
    <row r="203" spans="1:20" x14ac:dyDescent="0.25">
      <c r="A203" s="248"/>
      <c r="B203" s="243"/>
      <c r="C203" s="243"/>
      <c r="D203" s="153">
        <v>991</v>
      </c>
      <c r="E203" s="140">
        <v>46048</v>
      </c>
      <c r="F203" s="141">
        <v>2505439</v>
      </c>
      <c r="G203" s="139" t="s">
        <v>258</v>
      </c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</row>
    <row r="204" spans="1:20" x14ac:dyDescent="0.25">
      <c r="A204" s="248"/>
      <c r="B204" s="243"/>
      <c r="C204" s="243"/>
      <c r="D204" s="153" t="s">
        <v>221</v>
      </c>
      <c r="E204" s="139" t="s">
        <v>221</v>
      </c>
      <c r="F204" s="139" t="s">
        <v>221</v>
      </c>
      <c r="G204" s="139" t="s">
        <v>221</v>
      </c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</row>
    <row r="205" spans="1:20" x14ac:dyDescent="0.25">
      <c r="A205" s="248"/>
      <c r="B205" s="243"/>
      <c r="C205" s="243"/>
      <c r="D205" s="153" t="s">
        <v>221</v>
      </c>
      <c r="E205" s="139" t="s">
        <v>221</v>
      </c>
      <c r="F205" s="139" t="s">
        <v>221</v>
      </c>
      <c r="G205" s="139" t="s">
        <v>221</v>
      </c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</row>
    <row r="206" spans="1:20" x14ac:dyDescent="0.25">
      <c r="A206" s="248"/>
      <c r="B206" s="243"/>
      <c r="C206" s="243"/>
      <c r="D206" s="153" t="s">
        <v>221</v>
      </c>
      <c r="E206" s="139" t="s">
        <v>221</v>
      </c>
      <c r="F206" s="139" t="s">
        <v>221</v>
      </c>
      <c r="G206" s="139" t="s">
        <v>221</v>
      </c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</row>
    <row r="207" spans="1:20" x14ac:dyDescent="0.25">
      <c r="A207" s="248"/>
      <c r="B207" s="243"/>
      <c r="C207" s="243"/>
      <c r="D207" s="153" t="s">
        <v>221</v>
      </c>
      <c r="E207" s="139" t="s">
        <v>221</v>
      </c>
      <c r="F207" s="139" t="s">
        <v>221</v>
      </c>
      <c r="G207" s="139" t="s">
        <v>221</v>
      </c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</row>
    <row r="208" spans="1:20" x14ac:dyDescent="0.25">
      <c r="A208" s="248"/>
      <c r="B208" s="243"/>
      <c r="C208" s="243"/>
      <c r="D208" s="153" t="s">
        <v>221</v>
      </c>
      <c r="E208" s="139" t="s">
        <v>221</v>
      </c>
      <c r="F208" s="139" t="s">
        <v>221</v>
      </c>
      <c r="G208" s="139" t="s">
        <v>221</v>
      </c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</row>
    <row r="209" spans="1:20" x14ac:dyDescent="0.25">
      <c r="A209" s="248"/>
      <c r="B209" s="243"/>
      <c r="C209" s="243"/>
      <c r="D209" s="153" t="s">
        <v>221</v>
      </c>
      <c r="E209" s="139" t="s">
        <v>221</v>
      </c>
      <c r="F209" s="139" t="s">
        <v>221</v>
      </c>
      <c r="G209" s="139" t="s">
        <v>221</v>
      </c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</row>
    <row r="210" spans="1:20" x14ac:dyDescent="0.25">
      <c r="A210" s="248"/>
      <c r="B210" s="243"/>
      <c r="C210" s="243"/>
      <c r="D210" s="153" t="s">
        <v>221</v>
      </c>
      <c r="E210" s="139" t="s">
        <v>221</v>
      </c>
      <c r="F210" s="139" t="s">
        <v>221</v>
      </c>
      <c r="G210" s="139" t="s">
        <v>221</v>
      </c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</row>
    <row r="211" spans="1:20" x14ac:dyDescent="0.25">
      <c r="A211" s="248"/>
      <c r="B211" s="243"/>
      <c r="C211" s="243"/>
      <c r="D211" s="153" t="s">
        <v>221</v>
      </c>
      <c r="E211" s="139" t="s">
        <v>221</v>
      </c>
      <c r="F211" s="139" t="s">
        <v>221</v>
      </c>
      <c r="G211" s="139" t="s">
        <v>221</v>
      </c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</row>
    <row r="212" spans="1:20" x14ac:dyDescent="0.25">
      <c r="A212" s="248"/>
      <c r="B212" s="243"/>
      <c r="C212" s="243"/>
      <c r="D212" s="153" t="s">
        <v>221</v>
      </c>
      <c r="E212" s="139" t="s">
        <v>221</v>
      </c>
      <c r="F212" s="139" t="s">
        <v>221</v>
      </c>
      <c r="G212" s="139" t="s">
        <v>221</v>
      </c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</row>
    <row r="213" spans="1:20" x14ac:dyDescent="0.25">
      <c r="A213" s="251"/>
      <c r="B213" s="246"/>
      <c r="C213" s="244"/>
      <c r="D213" s="153" t="s">
        <v>221</v>
      </c>
      <c r="E213" s="139" t="s">
        <v>221</v>
      </c>
      <c r="F213" s="139" t="s">
        <v>221</v>
      </c>
      <c r="G213" s="139" t="s">
        <v>221</v>
      </c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</row>
    <row r="214" spans="1:20" x14ac:dyDescent="0.25">
      <c r="A214" s="147"/>
      <c r="B214" s="147"/>
      <c r="C214" s="151"/>
      <c r="D214" s="154"/>
      <c r="E214" s="151"/>
      <c r="F214" s="143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</row>
    <row r="215" spans="1:20" x14ac:dyDescent="0.25">
      <c r="A215" s="147"/>
      <c r="B215" s="147"/>
      <c r="C215" s="147"/>
      <c r="D215" s="144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</row>
    <row r="216" spans="1:20" x14ac:dyDescent="0.25">
      <c r="A216" s="148" t="s">
        <v>209</v>
      </c>
      <c r="B216" s="149" t="s">
        <v>210</v>
      </c>
      <c r="C216" s="149" t="s">
        <v>211</v>
      </c>
      <c r="D216" s="152" t="s">
        <v>212</v>
      </c>
      <c r="E216" s="136" t="s">
        <v>213</v>
      </c>
      <c r="F216" s="136" t="s">
        <v>214</v>
      </c>
      <c r="G216" s="136" t="s">
        <v>215</v>
      </c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</row>
    <row r="217" spans="1:20" x14ac:dyDescent="0.25">
      <c r="A217" s="243">
        <v>18</v>
      </c>
      <c r="B217" s="245">
        <v>900004171127</v>
      </c>
      <c r="C217" s="243" t="s">
        <v>259</v>
      </c>
      <c r="D217" s="153">
        <v>525</v>
      </c>
      <c r="E217" s="140">
        <v>46035</v>
      </c>
      <c r="F217" s="141">
        <v>18779044</v>
      </c>
      <c r="G217" s="139" t="s">
        <v>260</v>
      </c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</row>
    <row r="218" spans="1:20" x14ac:dyDescent="0.25">
      <c r="A218" s="243"/>
      <c r="B218" s="243"/>
      <c r="C218" s="243"/>
      <c r="D218" s="153" t="s">
        <v>221</v>
      </c>
      <c r="E218" s="139" t="s">
        <v>221</v>
      </c>
      <c r="F218" s="139" t="s">
        <v>221</v>
      </c>
      <c r="G218" s="139" t="s">
        <v>221</v>
      </c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</row>
    <row r="219" spans="1:20" x14ac:dyDescent="0.25">
      <c r="A219" s="243"/>
      <c r="B219" s="243"/>
      <c r="C219" s="243"/>
      <c r="D219" s="153" t="s">
        <v>221</v>
      </c>
      <c r="E219" s="139" t="s">
        <v>221</v>
      </c>
      <c r="F219" s="139" t="s">
        <v>221</v>
      </c>
      <c r="G219" s="139" t="s">
        <v>221</v>
      </c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</row>
    <row r="220" spans="1:20" x14ac:dyDescent="0.25">
      <c r="A220" s="243"/>
      <c r="B220" s="243"/>
      <c r="C220" s="243"/>
      <c r="D220" s="153" t="s">
        <v>221</v>
      </c>
      <c r="E220" s="139" t="s">
        <v>221</v>
      </c>
      <c r="F220" s="139" t="s">
        <v>221</v>
      </c>
      <c r="G220" s="139" t="s">
        <v>221</v>
      </c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</row>
    <row r="221" spans="1:20" x14ac:dyDescent="0.25">
      <c r="A221" s="243"/>
      <c r="B221" s="243"/>
      <c r="C221" s="243"/>
      <c r="D221" s="153" t="s">
        <v>221</v>
      </c>
      <c r="E221" s="139" t="s">
        <v>221</v>
      </c>
      <c r="F221" s="139" t="s">
        <v>221</v>
      </c>
      <c r="G221" s="139" t="s">
        <v>221</v>
      </c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</row>
    <row r="222" spans="1:20" x14ac:dyDescent="0.25">
      <c r="A222" s="243"/>
      <c r="B222" s="243"/>
      <c r="C222" s="243"/>
      <c r="D222" s="153" t="s">
        <v>221</v>
      </c>
      <c r="E222" s="139" t="s">
        <v>221</v>
      </c>
      <c r="F222" s="139" t="s">
        <v>221</v>
      </c>
      <c r="G222" s="139" t="s">
        <v>221</v>
      </c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</row>
    <row r="223" spans="1:20" x14ac:dyDescent="0.25">
      <c r="A223" s="243"/>
      <c r="B223" s="243"/>
      <c r="C223" s="243"/>
      <c r="D223" s="153" t="s">
        <v>221</v>
      </c>
      <c r="E223" s="139" t="s">
        <v>221</v>
      </c>
      <c r="F223" s="139" t="s">
        <v>221</v>
      </c>
      <c r="G223" s="139" t="s">
        <v>221</v>
      </c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</row>
    <row r="224" spans="1:20" x14ac:dyDescent="0.25">
      <c r="A224" s="243"/>
      <c r="B224" s="243"/>
      <c r="C224" s="243"/>
      <c r="D224" s="153" t="s">
        <v>221</v>
      </c>
      <c r="E224" s="139" t="s">
        <v>221</v>
      </c>
      <c r="F224" s="139" t="s">
        <v>221</v>
      </c>
      <c r="G224" s="139" t="s">
        <v>221</v>
      </c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</row>
    <row r="225" spans="1:20" x14ac:dyDescent="0.25">
      <c r="A225" s="243"/>
      <c r="B225" s="243"/>
      <c r="C225" s="243"/>
      <c r="D225" s="153" t="s">
        <v>221</v>
      </c>
      <c r="E225" s="139" t="s">
        <v>221</v>
      </c>
      <c r="F225" s="139" t="s">
        <v>221</v>
      </c>
      <c r="G225" s="139" t="s">
        <v>221</v>
      </c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</row>
    <row r="226" spans="1:20" x14ac:dyDescent="0.25">
      <c r="A226" s="243"/>
      <c r="B226" s="243"/>
      <c r="C226" s="243"/>
      <c r="D226" s="153" t="s">
        <v>221</v>
      </c>
      <c r="E226" s="139" t="s">
        <v>221</v>
      </c>
      <c r="F226" s="139" t="s">
        <v>221</v>
      </c>
      <c r="G226" s="139" t="s">
        <v>221</v>
      </c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</row>
    <row r="227" spans="1:20" x14ac:dyDescent="0.25">
      <c r="A227" s="243"/>
      <c r="B227" s="243"/>
      <c r="C227" s="243"/>
      <c r="D227" s="153" t="s">
        <v>221</v>
      </c>
      <c r="E227" s="139" t="s">
        <v>221</v>
      </c>
      <c r="F227" s="139" t="s">
        <v>221</v>
      </c>
      <c r="G227" s="139" t="s">
        <v>221</v>
      </c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</row>
    <row r="228" spans="1:20" x14ac:dyDescent="0.25">
      <c r="A228" s="244"/>
      <c r="B228" s="246"/>
      <c r="C228" s="244"/>
      <c r="D228" s="153" t="s">
        <v>221</v>
      </c>
      <c r="E228" s="139" t="s">
        <v>221</v>
      </c>
      <c r="F228" s="139" t="s">
        <v>221</v>
      </c>
      <c r="G228" s="139" t="s">
        <v>221</v>
      </c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</row>
    <row r="229" spans="1:20" x14ac:dyDescent="0.25">
      <c r="A229" s="147"/>
      <c r="B229" s="147"/>
      <c r="C229" s="151"/>
      <c r="D229" s="154"/>
      <c r="E229" s="151"/>
      <c r="F229" s="143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</row>
  </sheetData>
  <mergeCells count="46">
    <mergeCell ref="A217:A228"/>
    <mergeCell ref="B217:B228"/>
    <mergeCell ref="C217:C228"/>
    <mergeCell ref="A187:A198"/>
    <mergeCell ref="B187:B198"/>
    <mergeCell ref="C187:C198"/>
    <mergeCell ref="A202:A213"/>
    <mergeCell ref="B202:B213"/>
    <mergeCell ref="C202:C213"/>
    <mergeCell ref="A156:A167"/>
    <mergeCell ref="B156:B167"/>
    <mergeCell ref="C156:C167"/>
    <mergeCell ref="A171:A182"/>
    <mergeCell ref="B171:B182"/>
    <mergeCell ref="C171:C182"/>
    <mergeCell ref="A124:A135"/>
    <mergeCell ref="B124:B135"/>
    <mergeCell ref="C124:C135"/>
    <mergeCell ref="A140:A151"/>
    <mergeCell ref="B140:B151"/>
    <mergeCell ref="C140:C151"/>
    <mergeCell ref="A93:A104"/>
    <mergeCell ref="B93:B104"/>
    <mergeCell ref="C93:C104"/>
    <mergeCell ref="A108:A119"/>
    <mergeCell ref="B108:B119"/>
    <mergeCell ref="C108:C119"/>
    <mergeCell ref="A63:A74"/>
    <mergeCell ref="B63:B74"/>
    <mergeCell ref="C63:C74"/>
    <mergeCell ref="C75:E75"/>
    <mergeCell ref="A78:A89"/>
    <mergeCell ref="B78:B89"/>
    <mergeCell ref="C78:C89"/>
    <mergeCell ref="A33:A44"/>
    <mergeCell ref="B33:B44"/>
    <mergeCell ref="C33:C44"/>
    <mergeCell ref="A48:A59"/>
    <mergeCell ref="B48:B59"/>
    <mergeCell ref="C48:C59"/>
    <mergeCell ref="A3:A14"/>
    <mergeCell ref="B3:B14"/>
    <mergeCell ref="C3:C14"/>
    <mergeCell ref="A18:A29"/>
    <mergeCell ref="B18:B29"/>
    <mergeCell ref="C18:C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12CED-9FEF-4DDD-BFC0-81BBFDAD217D}">
  <dimension ref="A1:U180"/>
  <sheetViews>
    <sheetView showGridLines="0" topLeftCell="A142" zoomScale="80" zoomScaleNormal="80" workbookViewId="0">
      <selection activeCell="B11" sqref="B11"/>
    </sheetView>
  </sheetViews>
  <sheetFormatPr baseColWidth="10" defaultColWidth="11.42578125" defaultRowHeight="15" x14ac:dyDescent="0.25"/>
  <cols>
    <col min="1" max="1" width="10.85546875" bestFit="1" customWidth="1"/>
    <col min="2" max="2" width="63.140625" bestFit="1" customWidth="1"/>
    <col min="3" max="3" width="3.85546875" customWidth="1"/>
    <col min="4" max="4" width="15.28515625" style="237" customWidth="1"/>
    <col min="5" max="6" width="15.5703125" style="237" bestFit="1" customWidth="1"/>
    <col min="7" max="7" width="16" style="237" bestFit="1" customWidth="1"/>
    <col min="8" max="8" width="15.5703125" style="237" bestFit="1" customWidth="1"/>
    <col min="9" max="9" width="18.85546875" style="237" bestFit="1" customWidth="1"/>
    <col min="10" max="10" width="15.5703125" style="237" bestFit="1" customWidth="1"/>
    <col min="11" max="12" width="16" style="237" bestFit="1" customWidth="1"/>
    <col min="13" max="13" width="15.5703125" style="237" bestFit="1" customWidth="1"/>
    <col min="14" max="14" width="16" style="237" bestFit="1" customWidth="1"/>
    <col min="15" max="15" width="15.5703125" style="237" bestFit="1" customWidth="1"/>
    <col min="16" max="16" width="18.28515625" bestFit="1" customWidth="1"/>
    <col min="17" max="17" width="14.28515625" bestFit="1" customWidth="1"/>
    <col min="18" max="21" width="1.5703125" bestFit="1" customWidth="1"/>
  </cols>
  <sheetData>
    <row r="1" spans="1:21" x14ac:dyDescent="0.25">
      <c r="A1" s="1" t="s">
        <v>221</v>
      </c>
      <c r="B1" s="1" t="s">
        <v>221</v>
      </c>
      <c r="C1" s="1" t="s">
        <v>221</v>
      </c>
      <c r="D1" s="155" t="s">
        <v>221</v>
      </c>
      <c r="E1" s="156" t="s">
        <v>221</v>
      </c>
      <c r="F1" s="156" t="s">
        <v>221</v>
      </c>
      <c r="G1" s="156" t="s">
        <v>221</v>
      </c>
      <c r="H1" s="156" t="s">
        <v>221</v>
      </c>
      <c r="I1" s="156" t="s">
        <v>221</v>
      </c>
      <c r="J1" s="157" t="s">
        <v>221</v>
      </c>
      <c r="K1" s="157" t="s">
        <v>221</v>
      </c>
      <c r="L1" s="157" t="s">
        <v>221</v>
      </c>
      <c r="M1" s="157" t="s">
        <v>221</v>
      </c>
      <c r="N1" s="157" t="s">
        <v>221</v>
      </c>
      <c r="O1" s="157" t="s">
        <v>221</v>
      </c>
      <c r="P1" s="3" t="s">
        <v>221</v>
      </c>
      <c r="Q1" s="5" t="s">
        <v>221</v>
      </c>
      <c r="R1" s="6" t="s">
        <v>221</v>
      </c>
      <c r="S1" s="1" t="s">
        <v>221</v>
      </c>
      <c r="T1" s="1" t="s">
        <v>221</v>
      </c>
      <c r="U1" s="1" t="s">
        <v>221</v>
      </c>
    </row>
    <row r="2" spans="1:21" ht="14.45" customHeight="1" x14ac:dyDescent="0.25">
      <c r="A2" s="1" t="s">
        <v>221</v>
      </c>
      <c r="B2" s="238" t="s">
        <v>261</v>
      </c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7" t="s">
        <v>221</v>
      </c>
      <c r="R2" s="8" t="s">
        <v>221</v>
      </c>
      <c r="S2" s="8" t="s">
        <v>221</v>
      </c>
      <c r="T2" s="8" t="s">
        <v>221</v>
      </c>
      <c r="U2" s="1" t="s">
        <v>221</v>
      </c>
    </row>
    <row r="3" spans="1:21" ht="14.45" customHeight="1" x14ac:dyDescent="0.25">
      <c r="A3" s="1" t="s">
        <v>221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7" t="s">
        <v>221</v>
      </c>
      <c r="R3" s="8" t="s">
        <v>221</v>
      </c>
      <c r="S3" s="8" t="s">
        <v>221</v>
      </c>
      <c r="T3" s="8" t="s">
        <v>221</v>
      </c>
      <c r="U3" s="1" t="s">
        <v>221</v>
      </c>
    </row>
    <row r="4" spans="1:21" x14ac:dyDescent="0.25">
      <c r="A4" s="1" t="s">
        <v>221</v>
      </c>
      <c r="B4" s="1" t="s">
        <v>221</v>
      </c>
      <c r="C4" s="1" t="s">
        <v>221</v>
      </c>
      <c r="D4" s="155" t="s">
        <v>221</v>
      </c>
      <c r="E4" s="156" t="s">
        <v>221</v>
      </c>
      <c r="F4" s="156" t="s">
        <v>221</v>
      </c>
      <c r="G4" s="156" t="s">
        <v>221</v>
      </c>
      <c r="H4" s="156" t="s">
        <v>221</v>
      </c>
      <c r="I4" s="156" t="s">
        <v>221</v>
      </c>
      <c r="J4" s="157" t="s">
        <v>221</v>
      </c>
      <c r="K4" s="157" t="s">
        <v>221</v>
      </c>
      <c r="L4" s="157" t="s">
        <v>221</v>
      </c>
      <c r="M4" s="157" t="s">
        <v>221</v>
      </c>
      <c r="N4" s="157" t="s">
        <v>221</v>
      </c>
      <c r="O4" s="157" t="s">
        <v>221</v>
      </c>
      <c r="P4" s="3" t="s">
        <v>221</v>
      </c>
      <c r="Q4" s="5" t="s">
        <v>221</v>
      </c>
      <c r="R4" s="6" t="s">
        <v>221</v>
      </c>
      <c r="S4" s="1" t="s">
        <v>221</v>
      </c>
      <c r="T4" s="1" t="s">
        <v>221</v>
      </c>
      <c r="U4" s="1" t="s">
        <v>221</v>
      </c>
    </row>
    <row r="5" spans="1:21" x14ac:dyDescent="0.25">
      <c r="A5" s="1" t="s">
        <v>221</v>
      </c>
      <c r="B5" s="1" t="s">
        <v>221</v>
      </c>
      <c r="C5" s="1" t="s">
        <v>221</v>
      </c>
      <c r="D5" s="158" t="s">
        <v>221</v>
      </c>
      <c r="E5" s="157" t="s">
        <v>221</v>
      </c>
      <c r="F5" s="157" t="s">
        <v>221</v>
      </c>
      <c r="G5" s="157" t="s">
        <v>221</v>
      </c>
      <c r="H5" s="157" t="s">
        <v>221</v>
      </c>
      <c r="I5" s="157" t="s">
        <v>221</v>
      </c>
      <c r="J5" s="157" t="s">
        <v>221</v>
      </c>
      <c r="K5" s="157" t="s">
        <v>221</v>
      </c>
      <c r="L5" s="157" t="s">
        <v>221</v>
      </c>
      <c r="M5" s="157" t="s">
        <v>221</v>
      </c>
      <c r="N5" s="157" t="s">
        <v>221</v>
      </c>
      <c r="O5" s="157" t="s">
        <v>221</v>
      </c>
      <c r="P5" s="4" t="s">
        <v>221</v>
      </c>
      <c r="Q5" s="13" t="s">
        <v>221</v>
      </c>
      <c r="R5" s="1" t="s">
        <v>221</v>
      </c>
      <c r="S5" s="1" t="s">
        <v>221</v>
      </c>
      <c r="T5" s="1" t="s">
        <v>221</v>
      </c>
      <c r="U5" s="1" t="s">
        <v>221</v>
      </c>
    </row>
    <row r="6" spans="1:21" x14ac:dyDescent="0.25">
      <c r="A6" s="1" t="s">
        <v>221</v>
      </c>
      <c r="B6" s="9" t="s">
        <v>262</v>
      </c>
      <c r="C6" s="9"/>
      <c r="D6" s="159" t="s">
        <v>263</v>
      </c>
      <c r="E6" s="160" t="s">
        <v>264</v>
      </c>
      <c r="F6" s="160" t="s">
        <v>265</v>
      </c>
      <c r="G6" s="160" t="s">
        <v>266</v>
      </c>
      <c r="H6" s="160" t="s">
        <v>267</v>
      </c>
      <c r="I6" s="160" t="s">
        <v>268</v>
      </c>
      <c r="J6" s="160" t="s">
        <v>269</v>
      </c>
      <c r="K6" s="161" t="s">
        <v>270</v>
      </c>
      <c r="L6" s="160" t="s">
        <v>271</v>
      </c>
      <c r="M6" s="161" t="s">
        <v>272</v>
      </c>
      <c r="N6" s="160" t="s">
        <v>273</v>
      </c>
      <c r="O6" s="161" t="s">
        <v>274</v>
      </c>
      <c r="P6" s="11" t="s">
        <v>275</v>
      </c>
      <c r="Q6" s="13" t="s">
        <v>221</v>
      </c>
      <c r="R6" s="1" t="s">
        <v>221</v>
      </c>
      <c r="S6" s="1" t="s">
        <v>221</v>
      </c>
      <c r="T6" s="1" t="s">
        <v>221</v>
      </c>
      <c r="U6" s="1" t="s">
        <v>221</v>
      </c>
    </row>
    <row r="7" spans="1:21" x14ac:dyDescent="0.25">
      <c r="A7" s="1" t="s">
        <v>221</v>
      </c>
      <c r="B7" s="1" t="s">
        <v>221</v>
      </c>
      <c r="C7" s="1" t="s">
        <v>221</v>
      </c>
      <c r="D7" s="158" t="s">
        <v>221</v>
      </c>
      <c r="E7" s="157" t="s">
        <v>221</v>
      </c>
      <c r="F7" s="157" t="s">
        <v>221</v>
      </c>
      <c r="G7" s="157" t="s">
        <v>221</v>
      </c>
      <c r="H7" s="157" t="s">
        <v>221</v>
      </c>
      <c r="I7" s="157" t="s">
        <v>221</v>
      </c>
      <c r="J7" s="157" t="s">
        <v>221</v>
      </c>
      <c r="K7" s="158" t="s">
        <v>221</v>
      </c>
      <c r="L7" s="157" t="s">
        <v>221</v>
      </c>
      <c r="M7" s="157" t="s">
        <v>221</v>
      </c>
      <c r="N7" s="157" t="s">
        <v>221</v>
      </c>
      <c r="O7" s="157" t="s">
        <v>221</v>
      </c>
      <c r="P7" s="4" t="s">
        <v>221</v>
      </c>
      <c r="Q7" s="13" t="s">
        <v>221</v>
      </c>
      <c r="R7" s="1" t="s">
        <v>221</v>
      </c>
      <c r="S7" s="1" t="s">
        <v>221</v>
      </c>
      <c r="T7" s="1" t="s">
        <v>221</v>
      </c>
      <c r="U7" s="1" t="s">
        <v>221</v>
      </c>
    </row>
    <row r="8" spans="1:21" x14ac:dyDescent="0.25">
      <c r="A8" s="1" t="s">
        <v>221</v>
      </c>
      <c r="B8" s="15" t="s">
        <v>276</v>
      </c>
      <c r="C8" s="9"/>
      <c r="D8" s="162" t="s">
        <v>277</v>
      </c>
      <c r="E8" s="163" t="s">
        <v>277</v>
      </c>
      <c r="F8" s="163" t="s">
        <v>277</v>
      </c>
      <c r="G8" s="163" t="s">
        <v>277</v>
      </c>
      <c r="H8" s="163" t="s">
        <v>277</v>
      </c>
      <c r="I8" s="163" t="s">
        <v>277</v>
      </c>
      <c r="J8" s="163" t="s">
        <v>277</v>
      </c>
      <c r="K8" s="162" t="s">
        <v>277</v>
      </c>
      <c r="L8" s="162" t="s">
        <v>277</v>
      </c>
      <c r="M8" s="162" t="s">
        <v>277</v>
      </c>
      <c r="N8" s="162" t="s">
        <v>277</v>
      </c>
      <c r="O8" s="162" t="s">
        <v>277</v>
      </c>
      <c r="P8" s="17" t="s">
        <v>277</v>
      </c>
      <c r="Q8" s="13" t="s">
        <v>221</v>
      </c>
      <c r="R8" s="1" t="s">
        <v>221</v>
      </c>
      <c r="S8" s="1" t="s">
        <v>221</v>
      </c>
      <c r="T8" s="1" t="s">
        <v>221</v>
      </c>
      <c r="U8" s="1" t="s">
        <v>221</v>
      </c>
    </row>
    <row r="9" spans="1:21" x14ac:dyDescent="0.25">
      <c r="A9" s="1" t="s">
        <v>221</v>
      </c>
      <c r="B9" s="1" t="s">
        <v>278</v>
      </c>
      <c r="C9" s="1" t="s">
        <v>221</v>
      </c>
      <c r="D9" s="158" t="s">
        <v>221</v>
      </c>
      <c r="E9" s="157" t="s">
        <v>221</v>
      </c>
      <c r="F9" s="157" t="s">
        <v>221</v>
      </c>
      <c r="G9" s="157" t="s">
        <v>221</v>
      </c>
      <c r="H9" s="157" t="s">
        <v>221</v>
      </c>
      <c r="I9" s="157" t="s">
        <v>221</v>
      </c>
      <c r="J9" s="157" t="s">
        <v>221</v>
      </c>
      <c r="K9" s="158" t="s">
        <v>221</v>
      </c>
      <c r="L9" s="157" t="s">
        <v>221</v>
      </c>
      <c r="M9" s="157" t="s">
        <v>221</v>
      </c>
      <c r="N9" s="157" t="s">
        <v>221</v>
      </c>
      <c r="O9" s="157" t="s">
        <v>221</v>
      </c>
      <c r="P9" s="4" t="s">
        <v>221</v>
      </c>
      <c r="Q9" s="13" t="s">
        <v>221</v>
      </c>
      <c r="R9" s="1" t="s">
        <v>221</v>
      </c>
      <c r="S9" s="1" t="s">
        <v>221</v>
      </c>
      <c r="T9" s="1" t="s">
        <v>221</v>
      </c>
      <c r="U9" s="1" t="s">
        <v>221</v>
      </c>
    </row>
    <row r="10" spans="1:21" x14ac:dyDescent="0.25">
      <c r="A10" s="18" t="s">
        <v>279</v>
      </c>
      <c r="B10" s="19" t="s">
        <v>280</v>
      </c>
      <c r="C10" s="1" t="s">
        <v>221</v>
      </c>
      <c r="D10" s="164" t="s">
        <v>281</v>
      </c>
      <c r="E10" s="165" t="s">
        <v>282</v>
      </c>
      <c r="F10" s="165" t="s">
        <v>282</v>
      </c>
      <c r="G10" s="165" t="s">
        <v>283</v>
      </c>
      <c r="H10" s="165" t="s">
        <v>282</v>
      </c>
      <c r="I10" s="165" t="s">
        <v>284</v>
      </c>
      <c r="J10" s="166" t="s">
        <v>282</v>
      </c>
      <c r="K10" s="167" t="s">
        <v>283</v>
      </c>
      <c r="L10" s="166" t="s">
        <v>283</v>
      </c>
      <c r="M10" s="166" t="s">
        <v>282</v>
      </c>
      <c r="N10" s="166" t="s">
        <v>283</v>
      </c>
      <c r="O10" s="167" t="s">
        <v>282</v>
      </c>
      <c r="P10" s="24" t="s">
        <v>285</v>
      </c>
      <c r="Q10" s="5" t="s">
        <v>286</v>
      </c>
      <c r="R10" s="6" t="s">
        <v>221</v>
      </c>
      <c r="S10" s="25" t="s">
        <v>221</v>
      </c>
      <c r="T10" s="1" t="s">
        <v>221</v>
      </c>
      <c r="U10" s="1" t="s">
        <v>221</v>
      </c>
    </row>
    <row r="11" spans="1:21" x14ac:dyDescent="0.25">
      <c r="A11" s="18" t="s">
        <v>287</v>
      </c>
      <c r="B11" s="26" t="s">
        <v>288</v>
      </c>
      <c r="C11" s="1" t="s">
        <v>221</v>
      </c>
      <c r="D11" s="168" t="s">
        <v>289</v>
      </c>
      <c r="E11" s="169" t="s">
        <v>282</v>
      </c>
      <c r="F11" s="169" t="s">
        <v>282</v>
      </c>
      <c r="G11" s="169" t="s">
        <v>283</v>
      </c>
      <c r="H11" s="169" t="s">
        <v>282</v>
      </c>
      <c r="I11" s="169" t="s">
        <v>284</v>
      </c>
      <c r="J11" s="170" t="s">
        <v>282</v>
      </c>
      <c r="K11" s="171" t="s">
        <v>283</v>
      </c>
      <c r="L11" s="170" t="s">
        <v>283</v>
      </c>
      <c r="M11" s="170" t="s">
        <v>282</v>
      </c>
      <c r="N11" s="170" t="s">
        <v>283</v>
      </c>
      <c r="O11" s="171" t="s">
        <v>282</v>
      </c>
      <c r="P11" s="31" t="s">
        <v>290</v>
      </c>
      <c r="Q11" s="5" t="s">
        <v>286</v>
      </c>
      <c r="R11" s="32" t="s">
        <v>221</v>
      </c>
      <c r="S11" s="33" t="s">
        <v>221</v>
      </c>
      <c r="T11" s="1" t="s">
        <v>221</v>
      </c>
      <c r="U11" s="1" t="s">
        <v>221</v>
      </c>
    </row>
    <row r="12" spans="1:21" x14ac:dyDescent="0.25">
      <c r="A12" s="18" t="s">
        <v>291</v>
      </c>
      <c r="B12" s="26" t="s">
        <v>292</v>
      </c>
      <c r="C12" s="1" t="s">
        <v>221</v>
      </c>
      <c r="D12" s="168" t="s">
        <v>293</v>
      </c>
      <c r="E12" s="169" t="s">
        <v>282</v>
      </c>
      <c r="F12" s="169" t="s">
        <v>282</v>
      </c>
      <c r="G12" s="169" t="s">
        <v>283</v>
      </c>
      <c r="H12" s="169" t="s">
        <v>282</v>
      </c>
      <c r="I12" s="169" t="s">
        <v>284</v>
      </c>
      <c r="J12" s="170" t="s">
        <v>282</v>
      </c>
      <c r="K12" s="171" t="s">
        <v>283</v>
      </c>
      <c r="L12" s="170" t="s">
        <v>283</v>
      </c>
      <c r="M12" s="170" t="s">
        <v>282</v>
      </c>
      <c r="N12" s="170" t="s">
        <v>283</v>
      </c>
      <c r="O12" s="171" t="s">
        <v>282</v>
      </c>
      <c r="P12" s="31" t="s">
        <v>294</v>
      </c>
      <c r="Q12" s="5" t="s">
        <v>286</v>
      </c>
      <c r="R12" s="32" t="s">
        <v>221</v>
      </c>
      <c r="S12" s="1" t="s">
        <v>221</v>
      </c>
      <c r="T12" s="1" t="s">
        <v>221</v>
      </c>
      <c r="U12" s="1" t="s">
        <v>221</v>
      </c>
    </row>
    <row r="13" spans="1:21" x14ac:dyDescent="0.25">
      <c r="A13" s="18" t="s">
        <v>295</v>
      </c>
      <c r="B13" s="26" t="s">
        <v>296</v>
      </c>
      <c r="C13" s="1" t="s">
        <v>221</v>
      </c>
      <c r="D13" s="168" t="s">
        <v>297</v>
      </c>
      <c r="E13" s="169" t="s">
        <v>282</v>
      </c>
      <c r="F13" s="169" t="s">
        <v>282</v>
      </c>
      <c r="G13" s="169" t="s">
        <v>283</v>
      </c>
      <c r="H13" s="169" t="s">
        <v>282</v>
      </c>
      <c r="I13" s="169" t="s">
        <v>284</v>
      </c>
      <c r="J13" s="170" t="s">
        <v>282</v>
      </c>
      <c r="K13" s="171" t="s">
        <v>283</v>
      </c>
      <c r="L13" s="170" t="s">
        <v>283</v>
      </c>
      <c r="M13" s="170" t="s">
        <v>282</v>
      </c>
      <c r="N13" s="170" t="s">
        <v>283</v>
      </c>
      <c r="O13" s="171" t="s">
        <v>282</v>
      </c>
      <c r="P13" s="31" t="s">
        <v>298</v>
      </c>
      <c r="Q13" s="5" t="s">
        <v>286</v>
      </c>
      <c r="R13" s="32" t="s">
        <v>221</v>
      </c>
      <c r="S13" s="1" t="s">
        <v>221</v>
      </c>
      <c r="T13" s="1" t="s">
        <v>221</v>
      </c>
      <c r="U13" s="1" t="s">
        <v>221</v>
      </c>
    </row>
    <row r="14" spans="1:21" x14ac:dyDescent="0.25">
      <c r="A14" s="18" t="s">
        <v>299</v>
      </c>
      <c r="B14" s="26" t="s">
        <v>300</v>
      </c>
      <c r="C14" s="1" t="s">
        <v>221</v>
      </c>
      <c r="D14" s="168" t="s">
        <v>301</v>
      </c>
      <c r="E14" s="169" t="s">
        <v>282</v>
      </c>
      <c r="F14" s="169" t="s">
        <v>282</v>
      </c>
      <c r="G14" s="169" t="s">
        <v>283</v>
      </c>
      <c r="H14" s="169" t="s">
        <v>282</v>
      </c>
      <c r="I14" s="169" t="s">
        <v>284</v>
      </c>
      <c r="J14" s="170" t="s">
        <v>282</v>
      </c>
      <c r="K14" s="171" t="s">
        <v>283</v>
      </c>
      <c r="L14" s="170" t="s">
        <v>283</v>
      </c>
      <c r="M14" s="170" t="s">
        <v>282</v>
      </c>
      <c r="N14" s="170" t="s">
        <v>283</v>
      </c>
      <c r="O14" s="171" t="s">
        <v>282</v>
      </c>
      <c r="P14" s="31" t="s">
        <v>302</v>
      </c>
      <c r="Q14" s="5" t="s">
        <v>286</v>
      </c>
      <c r="R14" s="32" t="s">
        <v>221</v>
      </c>
      <c r="S14" s="1" t="s">
        <v>221</v>
      </c>
      <c r="T14" s="1" t="s">
        <v>221</v>
      </c>
      <c r="U14" s="1" t="s">
        <v>221</v>
      </c>
    </row>
    <row r="15" spans="1:21" x14ac:dyDescent="0.25">
      <c r="A15" s="18" t="s">
        <v>303</v>
      </c>
      <c r="B15" s="26" t="s">
        <v>304</v>
      </c>
      <c r="C15" s="1" t="s">
        <v>221</v>
      </c>
      <c r="D15" s="168" t="s">
        <v>305</v>
      </c>
      <c r="E15" s="169" t="s">
        <v>282</v>
      </c>
      <c r="F15" s="169" t="s">
        <v>282</v>
      </c>
      <c r="G15" s="169" t="s">
        <v>283</v>
      </c>
      <c r="H15" s="169" t="s">
        <v>282</v>
      </c>
      <c r="I15" s="169" t="s">
        <v>284</v>
      </c>
      <c r="J15" s="170" t="s">
        <v>282</v>
      </c>
      <c r="K15" s="171" t="s">
        <v>283</v>
      </c>
      <c r="L15" s="170" t="s">
        <v>283</v>
      </c>
      <c r="M15" s="170" t="s">
        <v>282</v>
      </c>
      <c r="N15" s="170" t="s">
        <v>283</v>
      </c>
      <c r="O15" s="171" t="s">
        <v>282</v>
      </c>
      <c r="P15" s="31" t="s">
        <v>306</v>
      </c>
      <c r="Q15" s="5" t="s">
        <v>286</v>
      </c>
      <c r="R15" s="32" t="s">
        <v>221</v>
      </c>
      <c r="S15" s="1" t="s">
        <v>221</v>
      </c>
      <c r="T15" s="1" t="s">
        <v>221</v>
      </c>
      <c r="U15" s="1" t="s">
        <v>221</v>
      </c>
    </row>
    <row r="16" spans="1:21" x14ac:dyDescent="0.25">
      <c r="A16" s="18" t="s">
        <v>307</v>
      </c>
      <c r="B16" s="26" t="s">
        <v>308</v>
      </c>
      <c r="C16" s="1" t="s">
        <v>221</v>
      </c>
      <c r="D16" s="168" t="s">
        <v>309</v>
      </c>
      <c r="E16" s="169" t="s">
        <v>282</v>
      </c>
      <c r="F16" s="169" t="s">
        <v>282</v>
      </c>
      <c r="G16" s="169" t="s">
        <v>283</v>
      </c>
      <c r="H16" s="169" t="s">
        <v>282</v>
      </c>
      <c r="I16" s="169" t="s">
        <v>284</v>
      </c>
      <c r="J16" s="170" t="s">
        <v>282</v>
      </c>
      <c r="K16" s="171" t="s">
        <v>283</v>
      </c>
      <c r="L16" s="170" t="s">
        <v>283</v>
      </c>
      <c r="M16" s="170" t="s">
        <v>282</v>
      </c>
      <c r="N16" s="170" t="s">
        <v>283</v>
      </c>
      <c r="O16" s="171" t="s">
        <v>282</v>
      </c>
      <c r="P16" s="31" t="s">
        <v>310</v>
      </c>
      <c r="Q16" s="5" t="s">
        <v>286</v>
      </c>
      <c r="R16" s="32" t="s">
        <v>221</v>
      </c>
      <c r="S16" s="1" t="s">
        <v>221</v>
      </c>
      <c r="T16" s="1" t="s">
        <v>221</v>
      </c>
      <c r="U16" s="1" t="s">
        <v>221</v>
      </c>
    </row>
    <row r="17" spans="1:21" x14ac:dyDescent="0.25">
      <c r="A17" s="18" t="s">
        <v>221</v>
      </c>
      <c r="B17" s="26" t="s">
        <v>311</v>
      </c>
      <c r="C17" s="1" t="s">
        <v>221</v>
      </c>
      <c r="D17" s="168" t="s">
        <v>312</v>
      </c>
      <c r="E17" s="169" t="s">
        <v>282</v>
      </c>
      <c r="F17" s="169" t="s">
        <v>282</v>
      </c>
      <c r="G17" s="169" t="s">
        <v>283</v>
      </c>
      <c r="H17" s="169" t="s">
        <v>282</v>
      </c>
      <c r="I17" s="169" t="s">
        <v>284</v>
      </c>
      <c r="J17" s="170" t="s">
        <v>282</v>
      </c>
      <c r="K17" s="171" t="s">
        <v>283</v>
      </c>
      <c r="L17" s="170" t="s">
        <v>283</v>
      </c>
      <c r="M17" s="170" t="s">
        <v>282</v>
      </c>
      <c r="N17" s="170" t="s">
        <v>283</v>
      </c>
      <c r="O17" s="171" t="s">
        <v>282</v>
      </c>
      <c r="P17" s="31" t="s">
        <v>313</v>
      </c>
      <c r="Q17" s="5" t="s">
        <v>286</v>
      </c>
      <c r="R17" s="32" t="s">
        <v>221</v>
      </c>
      <c r="S17" s="1" t="s">
        <v>221</v>
      </c>
      <c r="T17" s="1" t="s">
        <v>221</v>
      </c>
      <c r="U17" s="1" t="s">
        <v>221</v>
      </c>
    </row>
    <row r="18" spans="1:21" x14ac:dyDescent="0.25">
      <c r="A18" s="18" t="s">
        <v>221</v>
      </c>
      <c r="B18" s="34" t="s">
        <v>314</v>
      </c>
      <c r="C18" s="1" t="s">
        <v>221</v>
      </c>
      <c r="D18" s="172" t="s">
        <v>282</v>
      </c>
      <c r="E18" s="173" t="s">
        <v>282</v>
      </c>
      <c r="F18" s="173" t="s">
        <v>282</v>
      </c>
      <c r="G18" s="173" t="s">
        <v>283</v>
      </c>
      <c r="H18" s="173" t="s">
        <v>282</v>
      </c>
      <c r="I18" s="173" t="s">
        <v>284</v>
      </c>
      <c r="J18" s="174" t="s">
        <v>282</v>
      </c>
      <c r="K18" s="175" t="s">
        <v>283</v>
      </c>
      <c r="L18" s="174" t="s">
        <v>283</v>
      </c>
      <c r="M18" s="174" t="s">
        <v>282</v>
      </c>
      <c r="N18" s="174" t="s">
        <v>283</v>
      </c>
      <c r="O18" s="175" t="s">
        <v>282</v>
      </c>
      <c r="P18" s="39" t="s">
        <v>315</v>
      </c>
      <c r="Q18" s="5" t="s">
        <v>286</v>
      </c>
      <c r="R18" s="32" t="s">
        <v>221</v>
      </c>
      <c r="S18" s="1" t="s">
        <v>221</v>
      </c>
      <c r="T18" s="1" t="s">
        <v>221</v>
      </c>
      <c r="U18" s="1" t="s">
        <v>221</v>
      </c>
    </row>
    <row r="19" spans="1:21" x14ac:dyDescent="0.25">
      <c r="A19" s="18" t="s">
        <v>221</v>
      </c>
      <c r="B19" s="1" t="s">
        <v>221</v>
      </c>
      <c r="C19" s="1" t="s">
        <v>221</v>
      </c>
      <c r="D19" s="155" t="s">
        <v>221</v>
      </c>
      <c r="E19" s="155" t="s">
        <v>221</v>
      </c>
      <c r="F19" s="155" t="s">
        <v>221</v>
      </c>
      <c r="G19" s="155" t="s">
        <v>221</v>
      </c>
      <c r="H19" s="155" t="s">
        <v>221</v>
      </c>
      <c r="I19" s="155" t="s">
        <v>221</v>
      </c>
      <c r="J19" s="156" t="s">
        <v>221</v>
      </c>
      <c r="K19" s="155" t="s">
        <v>221</v>
      </c>
      <c r="L19" s="156" t="s">
        <v>221</v>
      </c>
      <c r="M19" s="156" t="s">
        <v>221</v>
      </c>
      <c r="N19" s="156" t="s">
        <v>221</v>
      </c>
      <c r="O19" s="156" t="s">
        <v>221</v>
      </c>
      <c r="P19" s="3" t="s">
        <v>221</v>
      </c>
      <c r="Q19" s="5" t="s">
        <v>286</v>
      </c>
      <c r="R19" s="6" t="s">
        <v>221</v>
      </c>
      <c r="S19" s="1" t="s">
        <v>221</v>
      </c>
      <c r="T19" s="1" t="s">
        <v>221</v>
      </c>
      <c r="U19" s="1" t="s">
        <v>221</v>
      </c>
    </row>
    <row r="20" spans="1:21" x14ac:dyDescent="0.25">
      <c r="A20" s="1" t="s">
        <v>221</v>
      </c>
      <c r="B20" s="40" t="s">
        <v>316</v>
      </c>
      <c r="C20" s="41" t="s">
        <v>221</v>
      </c>
      <c r="D20" s="176" t="s">
        <v>317</v>
      </c>
      <c r="E20" s="176" t="s">
        <v>282</v>
      </c>
      <c r="F20" s="176" t="s">
        <v>282</v>
      </c>
      <c r="G20" s="176" t="s">
        <v>283</v>
      </c>
      <c r="H20" s="176" t="s">
        <v>282</v>
      </c>
      <c r="I20" s="176" t="s">
        <v>284</v>
      </c>
      <c r="J20" s="176" t="s">
        <v>282</v>
      </c>
      <c r="K20" s="176" t="s">
        <v>283</v>
      </c>
      <c r="L20" s="176" t="s">
        <v>283</v>
      </c>
      <c r="M20" s="176" t="s">
        <v>282</v>
      </c>
      <c r="N20" s="176" t="s">
        <v>283</v>
      </c>
      <c r="O20" s="176" t="s">
        <v>282</v>
      </c>
      <c r="P20" s="43" t="s">
        <v>318</v>
      </c>
      <c r="Q20" s="5" t="s">
        <v>286</v>
      </c>
      <c r="R20" s="6" t="s">
        <v>221</v>
      </c>
      <c r="S20" s="33" t="s">
        <v>221</v>
      </c>
      <c r="T20" s="25" t="s">
        <v>221</v>
      </c>
      <c r="U20" s="1" t="s">
        <v>221</v>
      </c>
    </row>
    <row r="21" spans="1:21" x14ac:dyDescent="0.25">
      <c r="A21" s="18" t="s">
        <v>319</v>
      </c>
      <c r="B21" s="1" t="s">
        <v>221</v>
      </c>
      <c r="C21" s="1" t="s">
        <v>221</v>
      </c>
      <c r="D21" s="155" t="s">
        <v>221</v>
      </c>
      <c r="E21" s="155" t="s">
        <v>221</v>
      </c>
      <c r="F21" s="155" t="s">
        <v>221</v>
      </c>
      <c r="G21" s="155" t="s">
        <v>221</v>
      </c>
      <c r="H21" s="155" t="s">
        <v>221</v>
      </c>
      <c r="I21" s="155" t="s">
        <v>221</v>
      </c>
      <c r="J21" s="177" t="s">
        <v>221</v>
      </c>
      <c r="K21" s="155" t="s">
        <v>221</v>
      </c>
      <c r="L21" s="177" t="s">
        <v>221</v>
      </c>
      <c r="M21" s="177" t="s">
        <v>221</v>
      </c>
      <c r="N21" s="177" t="s">
        <v>221</v>
      </c>
      <c r="O21" s="177" t="s">
        <v>221</v>
      </c>
      <c r="P21" s="44" t="s">
        <v>221</v>
      </c>
      <c r="Q21" s="5" t="s">
        <v>286</v>
      </c>
      <c r="R21" s="6" t="s">
        <v>221</v>
      </c>
      <c r="S21" s="33" t="s">
        <v>221</v>
      </c>
      <c r="T21" s="1" t="s">
        <v>221</v>
      </c>
      <c r="U21" s="1" t="s">
        <v>221</v>
      </c>
    </row>
    <row r="22" spans="1:21" x14ac:dyDescent="0.25">
      <c r="A22" s="1" t="s">
        <v>221</v>
      </c>
      <c r="B22" s="15" t="s">
        <v>320</v>
      </c>
      <c r="C22" s="9"/>
      <c r="D22" s="155" t="s">
        <v>221</v>
      </c>
      <c r="E22" s="155" t="s">
        <v>221</v>
      </c>
      <c r="F22" s="155" t="s">
        <v>221</v>
      </c>
      <c r="G22" s="155" t="s">
        <v>221</v>
      </c>
      <c r="H22" s="155" t="s">
        <v>221</v>
      </c>
      <c r="I22" s="155" t="s">
        <v>221</v>
      </c>
      <c r="J22" s="177" t="s">
        <v>221</v>
      </c>
      <c r="K22" s="155" t="s">
        <v>221</v>
      </c>
      <c r="L22" s="177" t="s">
        <v>221</v>
      </c>
      <c r="M22" s="177" t="s">
        <v>221</v>
      </c>
      <c r="N22" s="177" t="s">
        <v>221</v>
      </c>
      <c r="O22" s="177" t="s">
        <v>221</v>
      </c>
      <c r="P22" s="44" t="s">
        <v>221</v>
      </c>
      <c r="Q22" s="5" t="s">
        <v>286</v>
      </c>
      <c r="R22" s="6" t="s">
        <v>221</v>
      </c>
      <c r="S22" s="1" t="s">
        <v>221</v>
      </c>
      <c r="T22" s="33" t="s">
        <v>221</v>
      </c>
      <c r="U22" s="45" t="s">
        <v>221</v>
      </c>
    </row>
    <row r="23" spans="1:21" x14ac:dyDescent="0.25">
      <c r="A23" s="18" t="s">
        <v>319</v>
      </c>
      <c r="B23" s="1" t="s">
        <v>221</v>
      </c>
      <c r="C23" s="1" t="s">
        <v>221</v>
      </c>
      <c r="D23" s="155" t="s">
        <v>221</v>
      </c>
      <c r="E23" s="155" t="s">
        <v>221</v>
      </c>
      <c r="F23" s="155" t="s">
        <v>221</v>
      </c>
      <c r="G23" s="155" t="s">
        <v>221</v>
      </c>
      <c r="H23" s="155" t="s">
        <v>221</v>
      </c>
      <c r="I23" s="155" t="s">
        <v>221</v>
      </c>
      <c r="J23" s="177" t="s">
        <v>221</v>
      </c>
      <c r="K23" s="155" t="s">
        <v>221</v>
      </c>
      <c r="L23" s="177" t="s">
        <v>221</v>
      </c>
      <c r="M23" s="177" t="s">
        <v>221</v>
      </c>
      <c r="N23" s="177" t="s">
        <v>221</v>
      </c>
      <c r="O23" s="177" t="s">
        <v>221</v>
      </c>
      <c r="P23" s="44" t="s">
        <v>221</v>
      </c>
      <c r="Q23" s="5" t="s">
        <v>286</v>
      </c>
      <c r="R23" s="6" t="s">
        <v>221</v>
      </c>
      <c r="S23" s="1" t="s">
        <v>221</v>
      </c>
      <c r="T23" s="33" t="s">
        <v>221</v>
      </c>
      <c r="U23" s="1" t="s">
        <v>221</v>
      </c>
    </row>
    <row r="24" spans="1:21" x14ac:dyDescent="0.25">
      <c r="A24" s="18" t="s">
        <v>221</v>
      </c>
      <c r="B24" s="19" t="s">
        <v>321</v>
      </c>
      <c r="C24" s="1" t="s">
        <v>221</v>
      </c>
      <c r="D24" s="165" t="s">
        <v>282</v>
      </c>
      <c r="E24" s="165" t="s">
        <v>282</v>
      </c>
      <c r="F24" s="165" t="s">
        <v>282</v>
      </c>
      <c r="G24" s="165" t="s">
        <v>283</v>
      </c>
      <c r="H24" s="165" t="s">
        <v>282</v>
      </c>
      <c r="I24" s="165" t="s">
        <v>284</v>
      </c>
      <c r="J24" s="167" t="s">
        <v>282</v>
      </c>
      <c r="K24" s="166" t="s">
        <v>283</v>
      </c>
      <c r="L24" s="178" t="s">
        <v>283</v>
      </c>
      <c r="M24" s="166" t="s">
        <v>282</v>
      </c>
      <c r="N24" s="167" t="s">
        <v>283</v>
      </c>
      <c r="O24" s="167" t="s">
        <v>282</v>
      </c>
      <c r="P24" s="47" t="s">
        <v>315</v>
      </c>
      <c r="Q24" s="5" t="s">
        <v>286</v>
      </c>
      <c r="R24" s="32" t="s">
        <v>221</v>
      </c>
      <c r="S24" s="1" t="s">
        <v>221</v>
      </c>
      <c r="T24" s="1" t="s">
        <v>221</v>
      </c>
      <c r="U24" s="1" t="s">
        <v>221</v>
      </c>
    </row>
    <row r="25" spans="1:21" x14ac:dyDescent="0.25">
      <c r="A25" s="18" t="s">
        <v>322</v>
      </c>
      <c r="B25" s="26" t="s">
        <v>323</v>
      </c>
      <c r="C25" s="1" t="s">
        <v>221</v>
      </c>
      <c r="D25" s="169" t="s">
        <v>282</v>
      </c>
      <c r="E25" s="169" t="s">
        <v>282</v>
      </c>
      <c r="F25" s="169" t="s">
        <v>282</v>
      </c>
      <c r="G25" s="169" t="s">
        <v>283</v>
      </c>
      <c r="H25" s="169" t="s">
        <v>282</v>
      </c>
      <c r="I25" s="169" t="s">
        <v>284</v>
      </c>
      <c r="J25" s="179" t="s">
        <v>282</v>
      </c>
      <c r="K25" s="168" t="s">
        <v>283</v>
      </c>
      <c r="L25" s="170" t="s">
        <v>283</v>
      </c>
      <c r="M25" s="170" t="s">
        <v>282</v>
      </c>
      <c r="N25" s="171" t="s">
        <v>283</v>
      </c>
      <c r="O25" s="171" t="s">
        <v>282</v>
      </c>
      <c r="P25" s="49" t="s">
        <v>315</v>
      </c>
      <c r="Q25" s="5" t="s">
        <v>286</v>
      </c>
      <c r="R25" s="6" t="s">
        <v>221</v>
      </c>
      <c r="S25" s="1" t="s">
        <v>221</v>
      </c>
      <c r="T25" s="1" t="s">
        <v>221</v>
      </c>
      <c r="U25" s="1" t="s">
        <v>221</v>
      </c>
    </row>
    <row r="26" spans="1:21" x14ac:dyDescent="0.25">
      <c r="A26" s="18" t="s">
        <v>324</v>
      </c>
      <c r="B26" s="26" t="s">
        <v>325</v>
      </c>
      <c r="C26" s="1" t="s">
        <v>221</v>
      </c>
      <c r="D26" s="169" t="s">
        <v>282</v>
      </c>
      <c r="E26" s="169" t="s">
        <v>282</v>
      </c>
      <c r="F26" s="169" t="s">
        <v>282</v>
      </c>
      <c r="G26" s="169" t="s">
        <v>283</v>
      </c>
      <c r="H26" s="169" t="s">
        <v>282</v>
      </c>
      <c r="I26" s="169" t="s">
        <v>284</v>
      </c>
      <c r="J26" s="179" t="s">
        <v>282</v>
      </c>
      <c r="K26" s="168" t="s">
        <v>283</v>
      </c>
      <c r="L26" s="170" t="s">
        <v>283</v>
      </c>
      <c r="M26" s="170" t="s">
        <v>282</v>
      </c>
      <c r="N26" s="171" t="s">
        <v>283</v>
      </c>
      <c r="O26" s="171" t="s">
        <v>282</v>
      </c>
      <c r="P26" s="49" t="s">
        <v>315</v>
      </c>
      <c r="Q26" s="5" t="s">
        <v>286</v>
      </c>
      <c r="R26" s="6" t="s">
        <v>221</v>
      </c>
      <c r="S26" s="1" t="s">
        <v>221</v>
      </c>
      <c r="T26" s="1" t="s">
        <v>221</v>
      </c>
      <c r="U26" s="1" t="s">
        <v>221</v>
      </c>
    </row>
    <row r="27" spans="1:21" x14ac:dyDescent="0.25">
      <c r="A27" s="18" t="s">
        <v>326</v>
      </c>
      <c r="B27" s="26" t="s">
        <v>327</v>
      </c>
      <c r="C27" s="1" t="s">
        <v>221</v>
      </c>
      <c r="D27" s="169" t="s">
        <v>328</v>
      </c>
      <c r="E27" s="169" t="s">
        <v>282</v>
      </c>
      <c r="F27" s="169" t="s">
        <v>282</v>
      </c>
      <c r="G27" s="169" t="s">
        <v>283</v>
      </c>
      <c r="H27" s="169" t="s">
        <v>282</v>
      </c>
      <c r="I27" s="169" t="s">
        <v>284</v>
      </c>
      <c r="J27" s="179" t="s">
        <v>282</v>
      </c>
      <c r="K27" s="168" t="s">
        <v>283</v>
      </c>
      <c r="L27" s="170" t="s">
        <v>283</v>
      </c>
      <c r="M27" s="170" t="s">
        <v>282</v>
      </c>
      <c r="N27" s="171" t="s">
        <v>283</v>
      </c>
      <c r="O27" s="171" t="s">
        <v>282</v>
      </c>
      <c r="P27" s="49" t="s">
        <v>329</v>
      </c>
      <c r="Q27" s="5" t="s">
        <v>286</v>
      </c>
      <c r="R27" s="6" t="s">
        <v>221</v>
      </c>
      <c r="S27" s="1" t="s">
        <v>221</v>
      </c>
      <c r="T27" s="1" t="s">
        <v>221</v>
      </c>
      <c r="U27" s="1" t="s">
        <v>221</v>
      </c>
    </row>
    <row r="28" spans="1:21" x14ac:dyDescent="0.25">
      <c r="A28" s="18" t="s">
        <v>330</v>
      </c>
      <c r="B28" s="26" t="s">
        <v>331</v>
      </c>
      <c r="C28" s="1" t="s">
        <v>221</v>
      </c>
      <c r="D28" s="169" t="s">
        <v>332</v>
      </c>
      <c r="E28" s="169" t="s">
        <v>282</v>
      </c>
      <c r="F28" s="169" t="s">
        <v>282</v>
      </c>
      <c r="G28" s="169" t="s">
        <v>283</v>
      </c>
      <c r="H28" s="169" t="s">
        <v>282</v>
      </c>
      <c r="I28" s="169" t="s">
        <v>284</v>
      </c>
      <c r="J28" s="179" t="s">
        <v>282</v>
      </c>
      <c r="K28" s="168" t="s">
        <v>283</v>
      </c>
      <c r="L28" s="170" t="s">
        <v>283</v>
      </c>
      <c r="M28" s="170" t="s">
        <v>282</v>
      </c>
      <c r="N28" s="171" t="s">
        <v>283</v>
      </c>
      <c r="O28" s="171" t="s">
        <v>282</v>
      </c>
      <c r="P28" s="49" t="s">
        <v>333</v>
      </c>
      <c r="Q28" s="5" t="s">
        <v>286</v>
      </c>
      <c r="R28" s="6" t="s">
        <v>221</v>
      </c>
      <c r="S28" s="1" t="s">
        <v>221</v>
      </c>
      <c r="T28" s="1" t="s">
        <v>221</v>
      </c>
      <c r="U28" s="1" t="s">
        <v>221</v>
      </c>
    </row>
    <row r="29" spans="1:21" x14ac:dyDescent="0.25">
      <c r="A29" s="18" t="s">
        <v>334</v>
      </c>
      <c r="B29" s="26" t="s">
        <v>335</v>
      </c>
      <c r="C29" s="1" t="s">
        <v>221</v>
      </c>
      <c r="D29" s="169" t="s">
        <v>282</v>
      </c>
      <c r="E29" s="169" t="s">
        <v>282</v>
      </c>
      <c r="F29" s="169" t="s">
        <v>282</v>
      </c>
      <c r="G29" s="169" t="s">
        <v>283</v>
      </c>
      <c r="H29" s="169" t="s">
        <v>282</v>
      </c>
      <c r="I29" s="169" t="s">
        <v>284</v>
      </c>
      <c r="J29" s="179" t="s">
        <v>282</v>
      </c>
      <c r="K29" s="168" t="s">
        <v>283</v>
      </c>
      <c r="L29" s="170" t="s">
        <v>283</v>
      </c>
      <c r="M29" s="170" t="s">
        <v>282</v>
      </c>
      <c r="N29" s="171" t="s">
        <v>283</v>
      </c>
      <c r="O29" s="171" t="s">
        <v>282</v>
      </c>
      <c r="P29" s="49" t="s">
        <v>315</v>
      </c>
      <c r="Q29" s="5" t="s">
        <v>286</v>
      </c>
      <c r="R29" s="6" t="s">
        <v>221</v>
      </c>
      <c r="S29" s="1" t="s">
        <v>221</v>
      </c>
      <c r="T29" s="1" t="s">
        <v>221</v>
      </c>
      <c r="U29" s="1" t="s">
        <v>221</v>
      </c>
    </row>
    <row r="30" spans="1:21" x14ac:dyDescent="0.25">
      <c r="A30" s="1" t="s">
        <v>221</v>
      </c>
      <c r="B30" s="26" t="s">
        <v>336</v>
      </c>
      <c r="C30" s="1" t="s">
        <v>221</v>
      </c>
      <c r="D30" s="169" t="s">
        <v>282</v>
      </c>
      <c r="E30" s="169" t="s">
        <v>282</v>
      </c>
      <c r="F30" s="169" t="s">
        <v>282</v>
      </c>
      <c r="G30" s="169" t="s">
        <v>283</v>
      </c>
      <c r="H30" s="169" t="s">
        <v>282</v>
      </c>
      <c r="I30" s="169" t="s">
        <v>284</v>
      </c>
      <c r="J30" s="179" t="s">
        <v>282</v>
      </c>
      <c r="K30" s="168" t="s">
        <v>283</v>
      </c>
      <c r="L30" s="170" t="s">
        <v>283</v>
      </c>
      <c r="M30" s="170" t="s">
        <v>282</v>
      </c>
      <c r="N30" s="171" t="s">
        <v>283</v>
      </c>
      <c r="O30" s="171" t="s">
        <v>282</v>
      </c>
      <c r="P30" s="49" t="s">
        <v>315</v>
      </c>
      <c r="Q30" s="5" t="s">
        <v>286</v>
      </c>
      <c r="R30" s="6" t="s">
        <v>221</v>
      </c>
      <c r="S30" s="1" t="s">
        <v>221</v>
      </c>
      <c r="T30" s="1" t="s">
        <v>221</v>
      </c>
      <c r="U30" s="1" t="s">
        <v>221</v>
      </c>
    </row>
    <row r="31" spans="1:21" x14ac:dyDescent="0.25">
      <c r="A31" s="1" t="s">
        <v>221</v>
      </c>
      <c r="B31" s="26" t="s">
        <v>337</v>
      </c>
      <c r="C31" s="1" t="s">
        <v>221</v>
      </c>
      <c r="D31" s="169" t="s">
        <v>282</v>
      </c>
      <c r="E31" s="169" t="s">
        <v>282</v>
      </c>
      <c r="F31" s="169" t="s">
        <v>282</v>
      </c>
      <c r="G31" s="169" t="s">
        <v>283</v>
      </c>
      <c r="H31" s="169" t="s">
        <v>282</v>
      </c>
      <c r="I31" s="169" t="s">
        <v>284</v>
      </c>
      <c r="J31" s="179" t="s">
        <v>282</v>
      </c>
      <c r="K31" s="168" t="s">
        <v>283</v>
      </c>
      <c r="L31" s="170" t="s">
        <v>283</v>
      </c>
      <c r="M31" s="170" t="s">
        <v>282</v>
      </c>
      <c r="N31" s="171" t="s">
        <v>283</v>
      </c>
      <c r="O31" s="171" t="s">
        <v>282</v>
      </c>
      <c r="P31" s="50" t="s">
        <v>315</v>
      </c>
      <c r="Q31" s="5" t="s">
        <v>286</v>
      </c>
      <c r="R31" s="6" t="s">
        <v>221</v>
      </c>
      <c r="S31" s="1" t="s">
        <v>221</v>
      </c>
      <c r="T31" s="1" t="s">
        <v>221</v>
      </c>
      <c r="U31" s="1" t="s">
        <v>221</v>
      </c>
    </row>
    <row r="32" spans="1:21" x14ac:dyDescent="0.25">
      <c r="A32" s="1" t="s">
        <v>221</v>
      </c>
      <c r="B32" s="26" t="s">
        <v>338</v>
      </c>
      <c r="C32" s="1" t="s">
        <v>221</v>
      </c>
      <c r="D32" s="169" t="s">
        <v>282</v>
      </c>
      <c r="E32" s="169" t="s">
        <v>282</v>
      </c>
      <c r="F32" s="169" t="s">
        <v>282</v>
      </c>
      <c r="G32" s="169" t="s">
        <v>283</v>
      </c>
      <c r="H32" s="169" t="s">
        <v>282</v>
      </c>
      <c r="I32" s="169" t="s">
        <v>284</v>
      </c>
      <c r="J32" s="179" t="s">
        <v>282</v>
      </c>
      <c r="K32" s="168" t="s">
        <v>283</v>
      </c>
      <c r="L32" s="170" t="s">
        <v>283</v>
      </c>
      <c r="M32" s="170" t="s">
        <v>282</v>
      </c>
      <c r="N32" s="171" t="s">
        <v>283</v>
      </c>
      <c r="O32" s="171" t="s">
        <v>282</v>
      </c>
      <c r="P32" s="50" t="s">
        <v>315</v>
      </c>
      <c r="Q32" s="5" t="s">
        <v>286</v>
      </c>
      <c r="R32" s="6" t="s">
        <v>221</v>
      </c>
      <c r="S32" s="1" t="s">
        <v>221</v>
      </c>
      <c r="T32" s="1" t="s">
        <v>221</v>
      </c>
      <c r="U32" s="1" t="s">
        <v>221</v>
      </c>
    </row>
    <row r="33" spans="1:21" x14ac:dyDescent="0.25">
      <c r="A33" s="1" t="s">
        <v>221</v>
      </c>
      <c r="B33" s="26" t="s">
        <v>339</v>
      </c>
      <c r="C33" s="1" t="s">
        <v>221</v>
      </c>
      <c r="D33" s="169" t="s">
        <v>340</v>
      </c>
      <c r="E33" s="169" t="s">
        <v>282</v>
      </c>
      <c r="F33" s="169" t="s">
        <v>282</v>
      </c>
      <c r="G33" s="169" t="s">
        <v>283</v>
      </c>
      <c r="H33" s="169" t="s">
        <v>282</v>
      </c>
      <c r="I33" s="169" t="s">
        <v>284</v>
      </c>
      <c r="J33" s="179" t="s">
        <v>282</v>
      </c>
      <c r="K33" s="168" t="s">
        <v>283</v>
      </c>
      <c r="L33" s="170" t="s">
        <v>283</v>
      </c>
      <c r="M33" s="170" t="s">
        <v>282</v>
      </c>
      <c r="N33" s="171" t="s">
        <v>283</v>
      </c>
      <c r="O33" s="171" t="s">
        <v>282</v>
      </c>
      <c r="P33" s="28" t="s">
        <v>341</v>
      </c>
      <c r="Q33" s="5" t="s">
        <v>286</v>
      </c>
      <c r="R33" s="6" t="s">
        <v>221</v>
      </c>
      <c r="S33" s="1" t="s">
        <v>221</v>
      </c>
      <c r="T33" s="1" t="s">
        <v>221</v>
      </c>
      <c r="U33" s="1" t="s">
        <v>221</v>
      </c>
    </row>
    <row r="34" spans="1:21" x14ac:dyDescent="0.25">
      <c r="A34" s="1" t="s">
        <v>221</v>
      </c>
      <c r="B34" s="51" t="s">
        <v>342</v>
      </c>
      <c r="C34" s="1" t="s">
        <v>221</v>
      </c>
      <c r="D34" s="169" t="s">
        <v>343</v>
      </c>
      <c r="E34" s="169" t="s">
        <v>282</v>
      </c>
      <c r="F34" s="169" t="s">
        <v>282</v>
      </c>
      <c r="G34" s="169" t="s">
        <v>283</v>
      </c>
      <c r="H34" s="169" t="s">
        <v>282</v>
      </c>
      <c r="I34" s="169" t="s">
        <v>284</v>
      </c>
      <c r="J34" s="179" t="s">
        <v>282</v>
      </c>
      <c r="K34" s="168" t="s">
        <v>283</v>
      </c>
      <c r="L34" s="170" t="s">
        <v>283</v>
      </c>
      <c r="M34" s="170" t="s">
        <v>282</v>
      </c>
      <c r="N34" s="171" t="s">
        <v>283</v>
      </c>
      <c r="O34" s="171" t="s">
        <v>282</v>
      </c>
      <c r="P34" s="28" t="s">
        <v>344</v>
      </c>
      <c r="Q34" s="5" t="s">
        <v>286</v>
      </c>
      <c r="R34" s="6" t="s">
        <v>221</v>
      </c>
      <c r="S34" s="1" t="s">
        <v>221</v>
      </c>
      <c r="T34" s="1" t="s">
        <v>221</v>
      </c>
      <c r="U34" s="1" t="s">
        <v>221</v>
      </c>
    </row>
    <row r="35" spans="1:21" x14ac:dyDescent="0.25">
      <c r="A35" s="1" t="s">
        <v>221</v>
      </c>
      <c r="B35" s="34" t="s">
        <v>345</v>
      </c>
      <c r="C35" s="1" t="s">
        <v>221</v>
      </c>
      <c r="D35" s="173" t="s">
        <v>282</v>
      </c>
      <c r="E35" s="173" t="s">
        <v>282</v>
      </c>
      <c r="F35" s="173" t="s">
        <v>282</v>
      </c>
      <c r="G35" s="173" t="s">
        <v>283</v>
      </c>
      <c r="H35" s="173" t="s">
        <v>282</v>
      </c>
      <c r="I35" s="173" t="s">
        <v>284</v>
      </c>
      <c r="J35" s="180" t="s">
        <v>282</v>
      </c>
      <c r="K35" s="172" t="s">
        <v>283</v>
      </c>
      <c r="L35" s="174" t="s">
        <v>283</v>
      </c>
      <c r="M35" s="174" t="s">
        <v>282</v>
      </c>
      <c r="N35" s="175" t="s">
        <v>283</v>
      </c>
      <c r="O35" s="175" t="s">
        <v>282</v>
      </c>
      <c r="P35" s="36" t="s">
        <v>315</v>
      </c>
      <c r="Q35" s="5" t="s">
        <v>286</v>
      </c>
      <c r="R35" s="6" t="s">
        <v>221</v>
      </c>
      <c r="S35" s="1" t="s">
        <v>221</v>
      </c>
      <c r="T35" s="1" t="s">
        <v>221</v>
      </c>
      <c r="U35" s="1" t="s">
        <v>221</v>
      </c>
    </row>
    <row r="36" spans="1:21" x14ac:dyDescent="0.25">
      <c r="A36" s="1" t="s">
        <v>221</v>
      </c>
      <c r="B36" s="1" t="s">
        <v>221</v>
      </c>
      <c r="C36" s="1" t="s">
        <v>221</v>
      </c>
      <c r="D36" s="155" t="s">
        <v>221</v>
      </c>
      <c r="E36" s="155" t="s">
        <v>221</v>
      </c>
      <c r="F36" s="155" t="s">
        <v>221</v>
      </c>
      <c r="G36" s="155" t="s">
        <v>221</v>
      </c>
      <c r="H36" s="155" t="s">
        <v>221</v>
      </c>
      <c r="I36" s="155" t="s">
        <v>221</v>
      </c>
      <c r="J36" s="177" t="s">
        <v>221</v>
      </c>
      <c r="K36" s="155" t="s">
        <v>221</v>
      </c>
      <c r="L36" s="177" t="s">
        <v>221</v>
      </c>
      <c r="M36" s="177" t="s">
        <v>221</v>
      </c>
      <c r="N36" s="177" t="s">
        <v>221</v>
      </c>
      <c r="O36" s="177" t="s">
        <v>221</v>
      </c>
      <c r="P36" s="44" t="s">
        <v>221</v>
      </c>
      <c r="Q36" s="5" t="s">
        <v>286</v>
      </c>
      <c r="R36" s="6" t="s">
        <v>221</v>
      </c>
      <c r="S36" s="1" t="s">
        <v>221</v>
      </c>
      <c r="T36" s="1" t="s">
        <v>221</v>
      </c>
      <c r="U36" s="1" t="s">
        <v>221</v>
      </c>
    </row>
    <row r="37" spans="1:21" x14ac:dyDescent="0.25">
      <c r="A37" s="18" t="s">
        <v>319</v>
      </c>
      <c r="B37" s="53" t="s">
        <v>346</v>
      </c>
      <c r="C37" s="54" t="s">
        <v>221</v>
      </c>
      <c r="D37" s="176" t="s">
        <v>347</v>
      </c>
      <c r="E37" s="176" t="s">
        <v>282</v>
      </c>
      <c r="F37" s="176" t="s">
        <v>282</v>
      </c>
      <c r="G37" s="176" t="s">
        <v>283</v>
      </c>
      <c r="H37" s="176" t="s">
        <v>282</v>
      </c>
      <c r="I37" s="176" t="s">
        <v>284</v>
      </c>
      <c r="J37" s="176" t="s">
        <v>282</v>
      </c>
      <c r="K37" s="176" t="s">
        <v>283</v>
      </c>
      <c r="L37" s="176" t="s">
        <v>283</v>
      </c>
      <c r="M37" s="176" t="s">
        <v>282</v>
      </c>
      <c r="N37" s="176" t="s">
        <v>283</v>
      </c>
      <c r="O37" s="176" t="s">
        <v>282</v>
      </c>
      <c r="P37" s="43" t="s">
        <v>348</v>
      </c>
      <c r="Q37" s="5" t="s">
        <v>286</v>
      </c>
      <c r="R37" s="6" t="s">
        <v>221</v>
      </c>
      <c r="S37" s="1" t="s">
        <v>221</v>
      </c>
      <c r="T37" s="1" t="s">
        <v>221</v>
      </c>
      <c r="U37" s="1" t="s">
        <v>221</v>
      </c>
    </row>
    <row r="38" spans="1:21" x14ac:dyDescent="0.25">
      <c r="A38" s="1" t="s">
        <v>221</v>
      </c>
      <c r="B38" s="41" t="s">
        <v>221</v>
      </c>
      <c r="C38" s="41" t="s">
        <v>221</v>
      </c>
      <c r="D38" s="155" t="s">
        <v>221</v>
      </c>
      <c r="E38" s="155" t="s">
        <v>221</v>
      </c>
      <c r="F38" s="155" t="s">
        <v>221</v>
      </c>
      <c r="G38" s="155" t="s">
        <v>221</v>
      </c>
      <c r="H38" s="155" t="s">
        <v>221</v>
      </c>
      <c r="I38" s="155" t="s">
        <v>221</v>
      </c>
      <c r="J38" s="177" t="s">
        <v>221</v>
      </c>
      <c r="K38" s="155" t="s">
        <v>221</v>
      </c>
      <c r="L38" s="177" t="s">
        <v>221</v>
      </c>
      <c r="M38" s="177" t="s">
        <v>221</v>
      </c>
      <c r="N38" s="177" t="s">
        <v>221</v>
      </c>
      <c r="O38" s="177" t="s">
        <v>221</v>
      </c>
      <c r="P38" s="44" t="s">
        <v>221</v>
      </c>
      <c r="Q38" s="5" t="s">
        <v>286</v>
      </c>
      <c r="R38" s="6" t="s">
        <v>221</v>
      </c>
      <c r="S38" s="1" t="s">
        <v>221</v>
      </c>
      <c r="T38" s="1" t="s">
        <v>221</v>
      </c>
      <c r="U38" s="1" t="s">
        <v>221</v>
      </c>
    </row>
    <row r="39" spans="1:21" x14ac:dyDescent="0.25">
      <c r="A39" s="18" t="s">
        <v>319</v>
      </c>
      <c r="B39" s="40" t="s">
        <v>349</v>
      </c>
      <c r="C39" s="41" t="s">
        <v>221</v>
      </c>
      <c r="D39" s="176" t="s">
        <v>350</v>
      </c>
      <c r="E39" s="176" t="s">
        <v>282</v>
      </c>
      <c r="F39" s="176" t="s">
        <v>282</v>
      </c>
      <c r="G39" s="176" t="s">
        <v>283</v>
      </c>
      <c r="H39" s="176" t="s">
        <v>282</v>
      </c>
      <c r="I39" s="176" t="s">
        <v>284</v>
      </c>
      <c r="J39" s="176" t="s">
        <v>282</v>
      </c>
      <c r="K39" s="176" t="s">
        <v>283</v>
      </c>
      <c r="L39" s="176" t="s">
        <v>283</v>
      </c>
      <c r="M39" s="176" t="s">
        <v>282</v>
      </c>
      <c r="N39" s="176" t="s">
        <v>283</v>
      </c>
      <c r="O39" s="176" t="s">
        <v>282</v>
      </c>
      <c r="P39" s="43" t="s">
        <v>351</v>
      </c>
      <c r="Q39" s="5" t="s">
        <v>286</v>
      </c>
      <c r="R39" s="6" t="s">
        <v>221</v>
      </c>
      <c r="S39" s="1" t="s">
        <v>221</v>
      </c>
      <c r="T39" s="1" t="s">
        <v>221</v>
      </c>
      <c r="U39" s="1" t="s">
        <v>221</v>
      </c>
    </row>
    <row r="40" spans="1:21" x14ac:dyDescent="0.25">
      <c r="A40" s="1" t="s">
        <v>221</v>
      </c>
      <c r="B40" s="41" t="s">
        <v>221</v>
      </c>
      <c r="C40" s="41" t="s">
        <v>221</v>
      </c>
      <c r="D40" s="155" t="s">
        <v>221</v>
      </c>
      <c r="E40" s="155" t="s">
        <v>221</v>
      </c>
      <c r="F40" s="155" t="s">
        <v>221</v>
      </c>
      <c r="G40" s="155" t="s">
        <v>221</v>
      </c>
      <c r="H40" s="155" t="s">
        <v>221</v>
      </c>
      <c r="I40" s="155" t="s">
        <v>221</v>
      </c>
      <c r="J40" s="177" t="s">
        <v>221</v>
      </c>
      <c r="K40" s="155" t="s">
        <v>221</v>
      </c>
      <c r="L40" s="177" t="s">
        <v>221</v>
      </c>
      <c r="M40" s="177" t="s">
        <v>221</v>
      </c>
      <c r="N40" s="177" t="s">
        <v>221</v>
      </c>
      <c r="O40" s="177" t="s">
        <v>221</v>
      </c>
      <c r="P40" s="44" t="s">
        <v>221</v>
      </c>
      <c r="Q40" s="5" t="s">
        <v>286</v>
      </c>
      <c r="R40" s="6" t="s">
        <v>221</v>
      </c>
      <c r="S40" s="1" t="s">
        <v>221</v>
      </c>
      <c r="T40" s="1" t="s">
        <v>221</v>
      </c>
      <c r="U40" s="1" t="s">
        <v>221</v>
      </c>
    </row>
    <row r="41" spans="1:21" x14ac:dyDescent="0.25">
      <c r="A41" s="18" t="s">
        <v>319</v>
      </c>
      <c r="B41" s="15" t="s">
        <v>352</v>
      </c>
      <c r="C41" s="55" t="s">
        <v>221</v>
      </c>
      <c r="D41" s="155" t="s">
        <v>221</v>
      </c>
      <c r="E41" s="155" t="s">
        <v>221</v>
      </c>
      <c r="F41" s="155" t="s">
        <v>221</v>
      </c>
      <c r="G41" s="155" t="s">
        <v>221</v>
      </c>
      <c r="H41" s="155" t="s">
        <v>221</v>
      </c>
      <c r="I41" s="155" t="s">
        <v>221</v>
      </c>
      <c r="J41" s="177" t="s">
        <v>221</v>
      </c>
      <c r="K41" s="155" t="s">
        <v>221</v>
      </c>
      <c r="L41" s="177" t="s">
        <v>221</v>
      </c>
      <c r="M41" s="177" t="s">
        <v>221</v>
      </c>
      <c r="N41" s="177" t="s">
        <v>221</v>
      </c>
      <c r="O41" s="177" t="s">
        <v>221</v>
      </c>
      <c r="P41" s="44" t="s">
        <v>221</v>
      </c>
      <c r="Q41" s="5" t="s">
        <v>286</v>
      </c>
      <c r="R41" s="6" t="s">
        <v>221</v>
      </c>
      <c r="S41" s="1" t="s">
        <v>221</v>
      </c>
      <c r="T41" s="1" t="s">
        <v>221</v>
      </c>
      <c r="U41" s="1" t="s">
        <v>221</v>
      </c>
    </row>
    <row r="42" spans="1:21" x14ac:dyDescent="0.25">
      <c r="A42" s="1" t="s">
        <v>221</v>
      </c>
      <c r="B42" s="9" t="s">
        <v>221</v>
      </c>
      <c r="C42" s="9" t="s">
        <v>221</v>
      </c>
      <c r="D42" s="155" t="s">
        <v>221</v>
      </c>
      <c r="E42" s="155" t="s">
        <v>221</v>
      </c>
      <c r="F42" s="155" t="s">
        <v>221</v>
      </c>
      <c r="G42" s="155" t="s">
        <v>221</v>
      </c>
      <c r="H42" s="155" t="s">
        <v>221</v>
      </c>
      <c r="I42" s="155" t="s">
        <v>221</v>
      </c>
      <c r="J42" s="177" t="s">
        <v>221</v>
      </c>
      <c r="K42" s="155" t="s">
        <v>221</v>
      </c>
      <c r="L42" s="177" t="s">
        <v>221</v>
      </c>
      <c r="M42" s="177" t="s">
        <v>221</v>
      </c>
      <c r="N42" s="177" t="s">
        <v>221</v>
      </c>
      <c r="O42" s="177" t="s">
        <v>221</v>
      </c>
      <c r="P42" s="44" t="s">
        <v>221</v>
      </c>
      <c r="Q42" s="5" t="s">
        <v>286</v>
      </c>
      <c r="R42" s="6" t="s">
        <v>221</v>
      </c>
      <c r="S42" s="1" t="s">
        <v>221</v>
      </c>
      <c r="T42" s="1" t="s">
        <v>221</v>
      </c>
      <c r="U42" s="1" t="s">
        <v>221</v>
      </c>
    </row>
    <row r="43" spans="1:21" x14ac:dyDescent="0.25">
      <c r="A43" s="1" t="s">
        <v>221</v>
      </c>
      <c r="B43" s="56" t="s">
        <v>353</v>
      </c>
      <c r="C43" s="41" t="s">
        <v>221</v>
      </c>
      <c r="D43" s="181" t="s">
        <v>354</v>
      </c>
      <c r="E43" s="181" t="s">
        <v>282</v>
      </c>
      <c r="F43" s="181" t="s">
        <v>282</v>
      </c>
      <c r="G43" s="181" t="s">
        <v>283</v>
      </c>
      <c r="H43" s="181" t="s">
        <v>282</v>
      </c>
      <c r="I43" s="182" t="s">
        <v>284</v>
      </c>
      <c r="J43" s="183" t="s">
        <v>282</v>
      </c>
      <c r="K43" s="181" t="s">
        <v>283</v>
      </c>
      <c r="L43" s="181" t="s">
        <v>283</v>
      </c>
      <c r="M43" s="181" t="s">
        <v>282</v>
      </c>
      <c r="N43" s="181" t="s">
        <v>283</v>
      </c>
      <c r="O43" s="181" t="s">
        <v>282</v>
      </c>
      <c r="P43" s="60" t="s">
        <v>355</v>
      </c>
      <c r="Q43" s="5" t="s">
        <v>286</v>
      </c>
      <c r="R43" s="6" t="s">
        <v>221</v>
      </c>
      <c r="S43" s="1" t="s">
        <v>221</v>
      </c>
      <c r="T43" s="33" t="s">
        <v>221</v>
      </c>
      <c r="U43" s="1" t="s">
        <v>221</v>
      </c>
    </row>
    <row r="44" spans="1:21" x14ac:dyDescent="0.25">
      <c r="A44" s="1" t="s">
        <v>221</v>
      </c>
      <c r="B44" s="26" t="s">
        <v>356</v>
      </c>
      <c r="C44" s="41" t="s">
        <v>221</v>
      </c>
      <c r="D44" s="184" t="s">
        <v>357</v>
      </c>
      <c r="E44" s="184" t="s">
        <v>282</v>
      </c>
      <c r="F44" s="184" t="s">
        <v>282</v>
      </c>
      <c r="G44" s="184" t="s">
        <v>283</v>
      </c>
      <c r="H44" s="184" t="s">
        <v>282</v>
      </c>
      <c r="I44" s="185" t="s">
        <v>284</v>
      </c>
      <c r="J44" s="186" t="s">
        <v>282</v>
      </c>
      <c r="K44" s="184" t="s">
        <v>283</v>
      </c>
      <c r="L44" s="186" t="s">
        <v>283</v>
      </c>
      <c r="M44" s="186" t="s">
        <v>282</v>
      </c>
      <c r="N44" s="186" t="s">
        <v>283</v>
      </c>
      <c r="O44" s="187" t="s">
        <v>282</v>
      </c>
      <c r="P44" s="65" t="s">
        <v>358</v>
      </c>
      <c r="Q44" s="5" t="s">
        <v>286</v>
      </c>
      <c r="R44" s="6" t="s">
        <v>221</v>
      </c>
      <c r="S44" s="1" t="s">
        <v>221</v>
      </c>
      <c r="T44" s="33" t="s">
        <v>221</v>
      </c>
      <c r="U44" s="1" t="s">
        <v>221</v>
      </c>
    </row>
    <row r="45" spans="1:21" x14ac:dyDescent="0.25">
      <c r="A45" s="1" t="s">
        <v>221</v>
      </c>
      <c r="B45" s="26" t="s">
        <v>359</v>
      </c>
      <c r="C45" s="41" t="s">
        <v>221</v>
      </c>
      <c r="D45" s="169" t="s">
        <v>360</v>
      </c>
      <c r="E45" s="169" t="s">
        <v>282</v>
      </c>
      <c r="F45" s="169" t="s">
        <v>282</v>
      </c>
      <c r="G45" s="169" t="s">
        <v>283</v>
      </c>
      <c r="H45" s="169" t="s">
        <v>282</v>
      </c>
      <c r="I45" s="168" t="s">
        <v>284</v>
      </c>
      <c r="J45" s="188" t="s">
        <v>282</v>
      </c>
      <c r="K45" s="169" t="s">
        <v>283</v>
      </c>
      <c r="L45" s="188" t="s">
        <v>283</v>
      </c>
      <c r="M45" s="186" t="s">
        <v>282</v>
      </c>
      <c r="N45" s="186" t="s">
        <v>283</v>
      </c>
      <c r="O45" s="171" t="s">
        <v>282</v>
      </c>
      <c r="P45" s="49" t="s">
        <v>361</v>
      </c>
      <c r="Q45" s="5" t="s">
        <v>286</v>
      </c>
      <c r="R45" s="6" t="s">
        <v>221</v>
      </c>
      <c r="S45" s="1" t="s">
        <v>221</v>
      </c>
      <c r="T45" s="33" t="s">
        <v>221</v>
      </c>
      <c r="U45" s="1" t="s">
        <v>221</v>
      </c>
    </row>
    <row r="46" spans="1:21" x14ac:dyDescent="0.25">
      <c r="A46" s="1" t="s">
        <v>221</v>
      </c>
      <c r="B46" s="67" t="s">
        <v>362</v>
      </c>
      <c r="C46" s="41" t="s">
        <v>221</v>
      </c>
      <c r="D46" s="169" t="s">
        <v>363</v>
      </c>
      <c r="E46" s="169" t="s">
        <v>282</v>
      </c>
      <c r="F46" s="169" t="s">
        <v>282</v>
      </c>
      <c r="G46" s="169" t="s">
        <v>283</v>
      </c>
      <c r="H46" s="169" t="s">
        <v>282</v>
      </c>
      <c r="I46" s="168" t="s">
        <v>284</v>
      </c>
      <c r="J46" s="188" t="s">
        <v>282</v>
      </c>
      <c r="K46" s="169" t="s">
        <v>283</v>
      </c>
      <c r="L46" s="188" t="s">
        <v>283</v>
      </c>
      <c r="M46" s="186" t="s">
        <v>282</v>
      </c>
      <c r="N46" s="186" t="s">
        <v>283</v>
      </c>
      <c r="O46" s="171" t="s">
        <v>282</v>
      </c>
      <c r="P46" s="48" t="s">
        <v>364</v>
      </c>
      <c r="Q46" s="5" t="s">
        <v>286</v>
      </c>
      <c r="R46" s="6" t="s">
        <v>221</v>
      </c>
      <c r="S46" s="1" t="s">
        <v>221</v>
      </c>
      <c r="T46" s="33" t="s">
        <v>221</v>
      </c>
      <c r="U46" s="1" t="s">
        <v>221</v>
      </c>
    </row>
    <row r="47" spans="1:21" x14ac:dyDescent="0.25">
      <c r="A47" s="1" t="s">
        <v>221</v>
      </c>
      <c r="B47" s="67" t="s">
        <v>365</v>
      </c>
      <c r="C47" s="41" t="s">
        <v>221</v>
      </c>
      <c r="D47" s="169" t="s">
        <v>282</v>
      </c>
      <c r="E47" s="169" t="s">
        <v>282</v>
      </c>
      <c r="F47" s="169" t="s">
        <v>282</v>
      </c>
      <c r="G47" s="169" t="s">
        <v>283</v>
      </c>
      <c r="H47" s="169" t="s">
        <v>282</v>
      </c>
      <c r="I47" s="168" t="s">
        <v>284</v>
      </c>
      <c r="J47" s="188" t="s">
        <v>282</v>
      </c>
      <c r="K47" s="169" t="s">
        <v>283</v>
      </c>
      <c r="L47" s="188" t="s">
        <v>283</v>
      </c>
      <c r="M47" s="186" t="s">
        <v>282</v>
      </c>
      <c r="N47" s="186" t="s">
        <v>283</v>
      </c>
      <c r="O47" s="171" t="s">
        <v>282</v>
      </c>
      <c r="P47" s="48" t="s">
        <v>315</v>
      </c>
      <c r="Q47" s="5" t="s">
        <v>286</v>
      </c>
      <c r="R47" s="6" t="s">
        <v>221</v>
      </c>
      <c r="S47" s="1" t="s">
        <v>221</v>
      </c>
      <c r="T47" s="33" t="s">
        <v>221</v>
      </c>
      <c r="U47" s="1" t="s">
        <v>221</v>
      </c>
    </row>
    <row r="48" spans="1:21" x14ac:dyDescent="0.25">
      <c r="A48" s="1" t="s">
        <v>221</v>
      </c>
      <c r="B48" s="67" t="s">
        <v>366</v>
      </c>
      <c r="C48" s="41" t="s">
        <v>221</v>
      </c>
      <c r="D48" s="169" t="s">
        <v>367</v>
      </c>
      <c r="E48" s="169" t="s">
        <v>282</v>
      </c>
      <c r="F48" s="169" t="s">
        <v>282</v>
      </c>
      <c r="G48" s="169" t="s">
        <v>283</v>
      </c>
      <c r="H48" s="169" t="s">
        <v>282</v>
      </c>
      <c r="I48" s="168" t="s">
        <v>284</v>
      </c>
      <c r="J48" s="188" t="s">
        <v>282</v>
      </c>
      <c r="K48" s="169" t="s">
        <v>283</v>
      </c>
      <c r="L48" s="188" t="s">
        <v>283</v>
      </c>
      <c r="M48" s="186" t="s">
        <v>282</v>
      </c>
      <c r="N48" s="186" t="s">
        <v>283</v>
      </c>
      <c r="O48" s="171" t="s">
        <v>282</v>
      </c>
      <c r="P48" s="48" t="s">
        <v>368</v>
      </c>
      <c r="Q48" s="5" t="s">
        <v>286</v>
      </c>
      <c r="R48" s="6" t="s">
        <v>221</v>
      </c>
      <c r="S48" s="1" t="s">
        <v>221</v>
      </c>
      <c r="T48" s="33" t="s">
        <v>221</v>
      </c>
      <c r="U48" s="1" t="s">
        <v>221</v>
      </c>
    </row>
    <row r="49" spans="1:21" x14ac:dyDescent="0.25">
      <c r="A49" s="1" t="s">
        <v>221</v>
      </c>
      <c r="B49" s="67" t="s">
        <v>369</v>
      </c>
      <c r="C49" s="41" t="s">
        <v>221</v>
      </c>
      <c r="D49" s="169" t="s">
        <v>282</v>
      </c>
      <c r="E49" s="169" t="s">
        <v>282</v>
      </c>
      <c r="F49" s="169" t="s">
        <v>282</v>
      </c>
      <c r="G49" s="169" t="s">
        <v>283</v>
      </c>
      <c r="H49" s="169" t="s">
        <v>282</v>
      </c>
      <c r="I49" s="168" t="s">
        <v>284</v>
      </c>
      <c r="J49" s="188" t="s">
        <v>282</v>
      </c>
      <c r="K49" s="169" t="s">
        <v>283</v>
      </c>
      <c r="L49" s="188" t="s">
        <v>283</v>
      </c>
      <c r="M49" s="186" t="s">
        <v>282</v>
      </c>
      <c r="N49" s="186" t="s">
        <v>283</v>
      </c>
      <c r="O49" s="171" t="s">
        <v>282</v>
      </c>
      <c r="P49" s="48" t="s">
        <v>315</v>
      </c>
      <c r="Q49" s="5" t="s">
        <v>286</v>
      </c>
      <c r="R49" s="6" t="s">
        <v>221</v>
      </c>
      <c r="S49" s="1" t="s">
        <v>221</v>
      </c>
      <c r="T49" s="33" t="s">
        <v>221</v>
      </c>
      <c r="U49" s="1" t="s">
        <v>221</v>
      </c>
    </row>
    <row r="50" spans="1:21" x14ac:dyDescent="0.25">
      <c r="A50" s="1" t="s">
        <v>221</v>
      </c>
      <c r="B50" s="67" t="s">
        <v>370</v>
      </c>
      <c r="C50" s="41" t="s">
        <v>221</v>
      </c>
      <c r="D50" s="169" t="s">
        <v>371</v>
      </c>
      <c r="E50" s="169" t="s">
        <v>282</v>
      </c>
      <c r="F50" s="169" t="s">
        <v>282</v>
      </c>
      <c r="G50" s="169" t="s">
        <v>283</v>
      </c>
      <c r="H50" s="169" t="s">
        <v>282</v>
      </c>
      <c r="I50" s="168" t="s">
        <v>284</v>
      </c>
      <c r="J50" s="188" t="s">
        <v>282</v>
      </c>
      <c r="K50" s="169" t="s">
        <v>283</v>
      </c>
      <c r="L50" s="188" t="s">
        <v>283</v>
      </c>
      <c r="M50" s="186" t="s">
        <v>282</v>
      </c>
      <c r="N50" s="186" t="s">
        <v>283</v>
      </c>
      <c r="O50" s="171" t="s">
        <v>282</v>
      </c>
      <c r="P50" s="48" t="s">
        <v>372</v>
      </c>
      <c r="Q50" s="5" t="s">
        <v>286</v>
      </c>
      <c r="R50" s="6" t="s">
        <v>221</v>
      </c>
      <c r="S50" s="1" t="s">
        <v>221</v>
      </c>
      <c r="T50" s="33" t="s">
        <v>221</v>
      </c>
      <c r="U50" s="1" t="s">
        <v>221</v>
      </c>
    </row>
    <row r="51" spans="1:21" x14ac:dyDescent="0.25">
      <c r="A51" s="18" t="s">
        <v>373</v>
      </c>
      <c r="B51" s="26" t="s">
        <v>374</v>
      </c>
      <c r="C51" s="41" t="s">
        <v>221</v>
      </c>
      <c r="D51" s="169" t="s">
        <v>375</v>
      </c>
      <c r="E51" s="169" t="s">
        <v>282</v>
      </c>
      <c r="F51" s="169" t="s">
        <v>282</v>
      </c>
      <c r="G51" s="169" t="s">
        <v>283</v>
      </c>
      <c r="H51" s="169" t="s">
        <v>282</v>
      </c>
      <c r="I51" s="168" t="s">
        <v>284</v>
      </c>
      <c r="J51" s="189" t="s">
        <v>282</v>
      </c>
      <c r="K51" s="190" t="s">
        <v>283</v>
      </c>
      <c r="L51" s="188" t="s">
        <v>283</v>
      </c>
      <c r="M51" s="186" t="s">
        <v>282</v>
      </c>
      <c r="N51" s="186" t="s">
        <v>283</v>
      </c>
      <c r="O51" s="171" t="s">
        <v>282</v>
      </c>
      <c r="P51" s="48" t="s">
        <v>376</v>
      </c>
      <c r="Q51" s="5" t="s">
        <v>286</v>
      </c>
      <c r="R51" s="6" t="s">
        <v>221</v>
      </c>
      <c r="S51" s="25" t="s">
        <v>221</v>
      </c>
      <c r="T51" s="25" t="s">
        <v>221</v>
      </c>
      <c r="U51" s="70" t="s">
        <v>221</v>
      </c>
    </row>
    <row r="52" spans="1:21" x14ac:dyDescent="0.25">
      <c r="A52" s="18" t="s">
        <v>221</v>
      </c>
      <c r="B52" s="71" t="s">
        <v>377</v>
      </c>
      <c r="C52" s="41" t="s">
        <v>221</v>
      </c>
      <c r="D52" s="169" t="s">
        <v>378</v>
      </c>
      <c r="E52" s="169" t="s">
        <v>282</v>
      </c>
      <c r="F52" s="169" t="s">
        <v>282</v>
      </c>
      <c r="G52" s="169" t="s">
        <v>283</v>
      </c>
      <c r="H52" s="169" t="s">
        <v>282</v>
      </c>
      <c r="I52" s="168" t="s">
        <v>284</v>
      </c>
      <c r="J52" s="189" t="s">
        <v>282</v>
      </c>
      <c r="K52" s="190" t="s">
        <v>283</v>
      </c>
      <c r="L52" s="188" t="s">
        <v>283</v>
      </c>
      <c r="M52" s="186" t="s">
        <v>282</v>
      </c>
      <c r="N52" s="186" t="s">
        <v>283</v>
      </c>
      <c r="O52" s="171" t="s">
        <v>282</v>
      </c>
      <c r="P52" s="48" t="s">
        <v>379</v>
      </c>
      <c r="Q52" s="5" t="s">
        <v>286</v>
      </c>
      <c r="R52" s="6" t="s">
        <v>221</v>
      </c>
      <c r="S52" s="25" t="s">
        <v>221</v>
      </c>
      <c r="T52" s="25" t="s">
        <v>221</v>
      </c>
      <c r="U52" s="70" t="s">
        <v>221</v>
      </c>
    </row>
    <row r="53" spans="1:21" x14ac:dyDescent="0.25">
      <c r="A53" s="1" t="s">
        <v>221</v>
      </c>
      <c r="B53" s="56" t="s">
        <v>380</v>
      </c>
      <c r="C53" s="41" t="s">
        <v>221</v>
      </c>
      <c r="D53" s="181" t="s">
        <v>381</v>
      </c>
      <c r="E53" s="181" t="s">
        <v>282</v>
      </c>
      <c r="F53" s="181" t="s">
        <v>282</v>
      </c>
      <c r="G53" s="181" t="s">
        <v>283</v>
      </c>
      <c r="H53" s="181" t="s">
        <v>282</v>
      </c>
      <c r="I53" s="182" t="s">
        <v>284</v>
      </c>
      <c r="J53" s="183" t="s">
        <v>282</v>
      </c>
      <c r="K53" s="181" t="s">
        <v>283</v>
      </c>
      <c r="L53" s="181" t="s">
        <v>283</v>
      </c>
      <c r="M53" s="181" t="s">
        <v>282</v>
      </c>
      <c r="N53" s="181" t="s">
        <v>283</v>
      </c>
      <c r="O53" s="181" t="s">
        <v>282</v>
      </c>
      <c r="P53" s="60" t="s">
        <v>382</v>
      </c>
      <c r="Q53" s="5" t="s">
        <v>286</v>
      </c>
      <c r="R53" s="6" t="s">
        <v>221</v>
      </c>
      <c r="S53" s="1" t="s">
        <v>221</v>
      </c>
      <c r="T53" s="70" t="s">
        <v>221</v>
      </c>
      <c r="U53" s="1" t="s">
        <v>221</v>
      </c>
    </row>
    <row r="54" spans="1:21" x14ac:dyDescent="0.25">
      <c r="A54" s="18" t="s">
        <v>383</v>
      </c>
      <c r="B54" s="26" t="s">
        <v>384</v>
      </c>
      <c r="C54" s="41" t="s">
        <v>221</v>
      </c>
      <c r="D54" s="184" t="s">
        <v>385</v>
      </c>
      <c r="E54" s="184" t="s">
        <v>282</v>
      </c>
      <c r="F54" s="184" t="s">
        <v>282</v>
      </c>
      <c r="G54" s="184" t="s">
        <v>283</v>
      </c>
      <c r="H54" s="184" t="s">
        <v>282</v>
      </c>
      <c r="I54" s="185" t="s">
        <v>284</v>
      </c>
      <c r="J54" s="186" t="s">
        <v>282</v>
      </c>
      <c r="K54" s="184" t="s">
        <v>283</v>
      </c>
      <c r="L54" s="186" t="s">
        <v>283</v>
      </c>
      <c r="M54" s="186" t="s">
        <v>282</v>
      </c>
      <c r="N54" s="186" t="s">
        <v>283</v>
      </c>
      <c r="O54" s="187" t="s">
        <v>282</v>
      </c>
      <c r="P54" s="72" t="s">
        <v>386</v>
      </c>
      <c r="Q54" s="5" t="s">
        <v>286</v>
      </c>
      <c r="R54" s="6" t="s">
        <v>221</v>
      </c>
      <c r="S54" s="1" t="s">
        <v>221</v>
      </c>
      <c r="T54" s="73" t="s">
        <v>221</v>
      </c>
      <c r="U54" s="1" t="s">
        <v>221</v>
      </c>
    </row>
    <row r="55" spans="1:21" x14ac:dyDescent="0.25">
      <c r="A55" s="18" t="s">
        <v>221</v>
      </c>
      <c r="B55" s="26" t="s">
        <v>387</v>
      </c>
      <c r="C55" s="41" t="s">
        <v>221</v>
      </c>
      <c r="D55" s="169" t="s">
        <v>388</v>
      </c>
      <c r="E55" s="169" t="s">
        <v>282</v>
      </c>
      <c r="F55" s="169" t="s">
        <v>282</v>
      </c>
      <c r="G55" s="169" t="s">
        <v>283</v>
      </c>
      <c r="H55" s="169" t="s">
        <v>282</v>
      </c>
      <c r="I55" s="168" t="s">
        <v>284</v>
      </c>
      <c r="J55" s="189" t="s">
        <v>282</v>
      </c>
      <c r="K55" s="190" t="s">
        <v>283</v>
      </c>
      <c r="L55" s="189" t="s">
        <v>283</v>
      </c>
      <c r="M55" s="186" t="s">
        <v>282</v>
      </c>
      <c r="N55" s="186" t="s">
        <v>283</v>
      </c>
      <c r="O55" s="171" t="s">
        <v>282</v>
      </c>
      <c r="P55" s="48" t="s">
        <v>389</v>
      </c>
      <c r="Q55" s="5" t="s">
        <v>286</v>
      </c>
      <c r="R55" s="6" t="s">
        <v>221</v>
      </c>
      <c r="S55" s="1" t="s">
        <v>221</v>
      </c>
      <c r="T55" s="73" t="s">
        <v>221</v>
      </c>
      <c r="U55" s="1" t="s">
        <v>221</v>
      </c>
    </row>
    <row r="56" spans="1:21" x14ac:dyDescent="0.25">
      <c r="A56" s="1" t="s">
        <v>221</v>
      </c>
      <c r="B56" s="56" t="s">
        <v>390</v>
      </c>
      <c r="C56" s="41" t="s">
        <v>221</v>
      </c>
      <c r="D56" s="181" t="s">
        <v>391</v>
      </c>
      <c r="E56" s="181" t="s">
        <v>282</v>
      </c>
      <c r="F56" s="181" t="s">
        <v>282</v>
      </c>
      <c r="G56" s="181" t="s">
        <v>283</v>
      </c>
      <c r="H56" s="181" t="s">
        <v>282</v>
      </c>
      <c r="I56" s="182" t="s">
        <v>284</v>
      </c>
      <c r="J56" s="183" t="s">
        <v>282</v>
      </c>
      <c r="K56" s="181" t="s">
        <v>283</v>
      </c>
      <c r="L56" s="181" t="s">
        <v>283</v>
      </c>
      <c r="M56" s="181" t="s">
        <v>282</v>
      </c>
      <c r="N56" s="181" t="s">
        <v>283</v>
      </c>
      <c r="O56" s="181" t="s">
        <v>282</v>
      </c>
      <c r="P56" s="60" t="s">
        <v>392</v>
      </c>
      <c r="Q56" s="5" t="s">
        <v>286</v>
      </c>
      <c r="R56" s="6" t="s">
        <v>221</v>
      </c>
      <c r="S56" s="1" t="s">
        <v>221</v>
      </c>
      <c r="T56" s="1" t="s">
        <v>221</v>
      </c>
      <c r="U56" s="1" t="s">
        <v>221</v>
      </c>
    </row>
    <row r="57" spans="1:21" x14ac:dyDescent="0.25">
      <c r="A57" s="18" t="s">
        <v>393</v>
      </c>
      <c r="B57" s="26" t="s">
        <v>394</v>
      </c>
      <c r="C57" s="41" t="s">
        <v>221</v>
      </c>
      <c r="D57" s="184" t="s">
        <v>395</v>
      </c>
      <c r="E57" s="184" t="s">
        <v>282</v>
      </c>
      <c r="F57" s="184" t="s">
        <v>282</v>
      </c>
      <c r="G57" s="184" t="s">
        <v>283</v>
      </c>
      <c r="H57" s="184" t="s">
        <v>282</v>
      </c>
      <c r="I57" s="185" t="s">
        <v>284</v>
      </c>
      <c r="J57" s="186" t="s">
        <v>282</v>
      </c>
      <c r="K57" s="184" t="s">
        <v>283</v>
      </c>
      <c r="L57" s="191" t="s">
        <v>283</v>
      </c>
      <c r="M57" s="186" t="s">
        <v>282</v>
      </c>
      <c r="N57" s="186" t="s">
        <v>283</v>
      </c>
      <c r="O57" s="187" t="s">
        <v>282</v>
      </c>
      <c r="P57" s="72" t="s">
        <v>396</v>
      </c>
      <c r="Q57" s="5" t="s">
        <v>286</v>
      </c>
      <c r="R57" s="6" t="s">
        <v>221</v>
      </c>
      <c r="S57" s="1" t="s">
        <v>221</v>
      </c>
      <c r="T57" s="1" t="s">
        <v>221</v>
      </c>
      <c r="U57" s="1" t="s">
        <v>221</v>
      </c>
    </row>
    <row r="58" spans="1:21" x14ac:dyDescent="0.25">
      <c r="A58" s="18" t="s">
        <v>221</v>
      </c>
      <c r="B58" s="26" t="s">
        <v>397</v>
      </c>
      <c r="C58" s="41" t="s">
        <v>221</v>
      </c>
      <c r="D58" s="169" t="s">
        <v>398</v>
      </c>
      <c r="E58" s="169" t="s">
        <v>282</v>
      </c>
      <c r="F58" s="169" t="s">
        <v>282</v>
      </c>
      <c r="G58" s="169" t="s">
        <v>283</v>
      </c>
      <c r="H58" s="169" t="s">
        <v>282</v>
      </c>
      <c r="I58" s="168" t="s">
        <v>284</v>
      </c>
      <c r="J58" s="188" t="s">
        <v>282</v>
      </c>
      <c r="K58" s="169" t="s">
        <v>283</v>
      </c>
      <c r="L58" s="179" t="s">
        <v>283</v>
      </c>
      <c r="M58" s="186" t="s">
        <v>282</v>
      </c>
      <c r="N58" s="186" t="s">
        <v>283</v>
      </c>
      <c r="O58" s="171" t="s">
        <v>282</v>
      </c>
      <c r="P58" s="48" t="s">
        <v>399</v>
      </c>
      <c r="Q58" s="5" t="s">
        <v>286</v>
      </c>
      <c r="R58" s="6" t="s">
        <v>221</v>
      </c>
      <c r="S58" s="1" t="s">
        <v>221</v>
      </c>
      <c r="T58" s="1" t="s">
        <v>221</v>
      </c>
      <c r="U58" s="1" t="s">
        <v>221</v>
      </c>
    </row>
    <row r="59" spans="1:21" x14ac:dyDescent="0.25">
      <c r="A59" s="18" t="s">
        <v>221</v>
      </c>
      <c r="B59" s="26" t="s">
        <v>400</v>
      </c>
      <c r="C59" s="41" t="s">
        <v>221</v>
      </c>
      <c r="D59" s="169" t="s">
        <v>282</v>
      </c>
      <c r="E59" s="169" t="s">
        <v>282</v>
      </c>
      <c r="F59" s="169" t="s">
        <v>282</v>
      </c>
      <c r="G59" s="169" t="s">
        <v>283</v>
      </c>
      <c r="H59" s="169" t="s">
        <v>282</v>
      </c>
      <c r="I59" s="168" t="s">
        <v>284</v>
      </c>
      <c r="J59" s="188" t="s">
        <v>282</v>
      </c>
      <c r="K59" s="169" t="s">
        <v>283</v>
      </c>
      <c r="L59" s="179" t="s">
        <v>283</v>
      </c>
      <c r="M59" s="186" t="s">
        <v>282</v>
      </c>
      <c r="N59" s="186" t="s">
        <v>283</v>
      </c>
      <c r="O59" s="171" t="s">
        <v>282</v>
      </c>
      <c r="P59" s="48" t="s">
        <v>315</v>
      </c>
      <c r="Q59" s="5" t="s">
        <v>286</v>
      </c>
      <c r="R59" s="6" t="s">
        <v>221</v>
      </c>
      <c r="S59" s="1" t="s">
        <v>221</v>
      </c>
      <c r="T59" s="1" t="s">
        <v>221</v>
      </c>
      <c r="U59" s="1" t="s">
        <v>221</v>
      </c>
    </row>
    <row r="60" spans="1:21" x14ac:dyDescent="0.25">
      <c r="A60" s="18" t="s">
        <v>221</v>
      </c>
      <c r="B60" s="26" t="s">
        <v>401</v>
      </c>
      <c r="C60" s="41" t="s">
        <v>221</v>
      </c>
      <c r="D60" s="169" t="s">
        <v>282</v>
      </c>
      <c r="E60" s="169" t="s">
        <v>282</v>
      </c>
      <c r="F60" s="169" t="s">
        <v>282</v>
      </c>
      <c r="G60" s="169" t="s">
        <v>283</v>
      </c>
      <c r="H60" s="169" t="s">
        <v>282</v>
      </c>
      <c r="I60" s="168" t="s">
        <v>284</v>
      </c>
      <c r="J60" s="188" t="s">
        <v>282</v>
      </c>
      <c r="K60" s="169" t="s">
        <v>283</v>
      </c>
      <c r="L60" s="179" t="s">
        <v>283</v>
      </c>
      <c r="M60" s="186" t="s">
        <v>282</v>
      </c>
      <c r="N60" s="186" t="s">
        <v>283</v>
      </c>
      <c r="O60" s="171" t="s">
        <v>282</v>
      </c>
      <c r="P60" s="48" t="s">
        <v>315</v>
      </c>
      <c r="Q60" s="5" t="s">
        <v>286</v>
      </c>
      <c r="R60" s="6" t="s">
        <v>221</v>
      </c>
      <c r="S60" s="1" t="s">
        <v>221</v>
      </c>
      <c r="T60" s="1" t="s">
        <v>221</v>
      </c>
      <c r="U60" s="1" t="s">
        <v>221</v>
      </c>
    </row>
    <row r="61" spans="1:21" x14ac:dyDescent="0.25">
      <c r="A61" s="18" t="s">
        <v>221</v>
      </c>
      <c r="B61" s="26" t="s">
        <v>402</v>
      </c>
      <c r="C61" s="41" t="s">
        <v>221</v>
      </c>
      <c r="D61" s="169" t="s">
        <v>403</v>
      </c>
      <c r="E61" s="169" t="s">
        <v>282</v>
      </c>
      <c r="F61" s="169" t="s">
        <v>282</v>
      </c>
      <c r="G61" s="169" t="s">
        <v>283</v>
      </c>
      <c r="H61" s="169" t="s">
        <v>282</v>
      </c>
      <c r="I61" s="168" t="s">
        <v>284</v>
      </c>
      <c r="J61" s="189" t="s">
        <v>282</v>
      </c>
      <c r="K61" s="190" t="s">
        <v>283</v>
      </c>
      <c r="L61" s="192" t="s">
        <v>283</v>
      </c>
      <c r="M61" s="186" t="s">
        <v>282</v>
      </c>
      <c r="N61" s="186" t="s">
        <v>283</v>
      </c>
      <c r="O61" s="171" t="s">
        <v>282</v>
      </c>
      <c r="P61" s="48" t="s">
        <v>404</v>
      </c>
      <c r="Q61" s="5" t="s">
        <v>286</v>
      </c>
      <c r="R61" s="6" t="s">
        <v>221</v>
      </c>
      <c r="S61" s="1" t="s">
        <v>221</v>
      </c>
      <c r="T61" s="1" t="s">
        <v>221</v>
      </c>
      <c r="U61" s="1" t="s">
        <v>221</v>
      </c>
    </row>
    <row r="62" spans="1:21" x14ac:dyDescent="0.25">
      <c r="A62" s="1" t="s">
        <v>221</v>
      </c>
      <c r="B62" s="56" t="s">
        <v>405</v>
      </c>
      <c r="C62" s="41" t="s">
        <v>221</v>
      </c>
      <c r="D62" s="181" t="s">
        <v>406</v>
      </c>
      <c r="E62" s="181" t="s">
        <v>282</v>
      </c>
      <c r="F62" s="181" t="s">
        <v>282</v>
      </c>
      <c r="G62" s="181" t="s">
        <v>283</v>
      </c>
      <c r="H62" s="181" t="s">
        <v>282</v>
      </c>
      <c r="I62" s="182" t="s">
        <v>284</v>
      </c>
      <c r="J62" s="183" t="s">
        <v>282</v>
      </c>
      <c r="K62" s="181" t="s">
        <v>283</v>
      </c>
      <c r="L62" s="181" t="s">
        <v>283</v>
      </c>
      <c r="M62" s="181" t="s">
        <v>282</v>
      </c>
      <c r="N62" s="181" t="s">
        <v>283</v>
      </c>
      <c r="O62" s="181" t="s">
        <v>282</v>
      </c>
      <c r="P62" s="60" t="s">
        <v>407</v>
      </c>
      <c r="Q62" s="5" t="s">
        <v>286</v>
      </c>
      <c r="R62" s="6" t="s">
        <v>221</v>
      </c>
      <c r="S62" s="1" t="s">
        <v>221</v>
      </c>
      <c r="T62" s="1" t="s">
        <v>221</v>
      </c>
      <c r="U62" s="1" t="s">
        <v>221</v>
      </c>
    </row>
    <row r="63" spans="1:21" x14ac:dyDescent="0.25">
      <c r="A63" s="1" t="s">
        <v>221</v>
      </c>
      <c r="B63" s="26" t="s">
        <v>408</v>
      </c>
      <c r="C63" s="41" t="s">
        <v>221</v>
      </c>
      <c r="D63" s="184" t="s">
        <v>409</v>
      </c>
      <c r="E63" s="184" t="s">
        <v>282</v>
      </c>
      <c r="F63" s="184" t="s">
        <v>282</v>
      </c>
      <c r="G63" s="184" t="s">
        <v>283</v>
      </c>
      <c r="H63" s="184" t="s">
        <v>282</v>
      </c>
      <c r="I63" s="185" t="s">
        <v>284</v>
      </c>
      <c r="J63" s="186" t="s">
        <v>282</v>
      </c>
      <c r="K63" s="184" t="s">
        <v>283</v>
      </c>
      <c r="L63" s="186" t="s">
        <v>283</v>
      </c>
      <c r="M63" s="186" t="s">
        <v>282</v>
      </c>
      <c r="N63" s="186" t="s">
        <v>283</v>
      </c>
      <c r="O63" s="187" t="s">
        <v>282</v>
      </c>
      <c r="P63" s="72" t="s">
        <v>410</v>
      </c>
      <c r="Q63" s="5" t="s">
        <v>286</v>
      </c>
      <c r="R63" s="6" t="s">
        <v>221</v>
      </c>
      <c r="S63" s="1" t="s">
        <v>221</v>
      </c>
      <c r="T63" s="1" t="s">
        <v>221</v>
      </c>
      <c r="U63" s="1" t="s">
        <v>221</v>
      </c>
    </row>
    <row r="64" spans="1:21" x14ac:dyDescent="0.25">
      <c r="A64" s="1" t="s">
        <v>221</v>
      </c>
      <c r="B64" s="26" t="s">
        <v>411</v>
      </c>
      <c r="C64" s="41" t="s">
        <v>221</v>
      </c>
      <c r="D64" s="169" t="s">
        <v>412</v>
      </c>
      <c r="E64" s="169" t="s">
        <v>282</v>
      </c>
      <c r="F64" s="169" t="s">
        <v>282</v>
      </c>
      <c r="G64" s="169" t="s">
        <v>283</v>
      </c>
      <c r="H64" s="169" t="s">
        <v>282</v>
      </c>
      <c r="I64" s="168" t="s">
        <v>284</v>
      </c>
      <c r="J64" s="188" t="s">
        <v>282</v>
      </c>
      <c r="K64" s="169" t="s">
        <v>283</v>
      </c>
      <c r="L64" s="188" t="s">
        <v>283</v>
      </c>
      <c r="M64" s="186" t="s">
        <v>282</v>
      </c>
      <c r="N64" s="186" t="s">
        <v>283</v>
      </c>
      <c r="O64" s="171" t="s">
        <v>282</v>
      </c>
      <c r="P64" s="48" t="s">
        <v>413</v>
      </c>
      <c r="Q64" s="5" t="s">
        <v>286</v>
      </c>
      <c r="R64" s="6" t="s">
        <v>221</v>
      </c>
      <c r="S64" s="1" t="s">
        <v>221</v>
      </c>
      <c r="T64" s="1" t="s">
        <v>221</v>
      </c>
      <c r="U64" s="1" t="s">
        <v>221</v>
      </c>
    </row>
    <row r="65" spans="1:21" x14ac:dyDescent="0.25">
      <c r="A65" s="1" t="s">
        <v>221</v>
      </c>
      <c r="B65" s="26" t="s">
        <v>414</v>
      </c>
      <c r="C65" s="41" t="s">
        <v>221</v>
      </c>
      <c r="D65" s="169" t="s">
        <v>415</v>
      </c>
      <c r="E65" s="169" t="s">
        <v>282</v>
      </c>
      <c r="F65" s="169" t="s">
        <v>282</v>
      </c>
      <c r="G65" s="169" t="s">
        <v>283</v>
      </c>
      <c r="H65" s="169" t="s">
        <v>282</v>
      </c>
      <c r="I65" s="168" t="s">
        <v>284</v>
      </c>
      <c r="J65" s="188" t="s">
        <v>282</v>
      </c>
      <c r="K65" s="169" t="s">
        <v>283</v>
      </c>
      <c r="L65" s="188" t="s">
        <v>283</v>
      </c>
      <c r="M65" s="186" t="s">
        <v>282</v>
      </c>
      <c r="N65" s="186" t="s">
        <v>283</v>
      </c>
      <c r="O65" s="171" t="s">
        <v>282</v>
      </c>
      <c r="P65" s="48" t="s">
        <v>416</v>
      </c>
      <c r="Q65" s="5" t="s">
        <v>286</v>
      </c>
      <c r="R65" s="6" t="s">
        <v>221</v>
      </c>
      <c r="S65" s="1" t="s">
        <v>221</v>
      </c>
      <c r="T65" s="1" t="s">
        <v>221</v>
      </c>
      <c r="U65" s="1" t="s">
        <v>221</v>
      </c>
    </row>
    <row r="66" spans="1:21" x14ac:dyDescent="0.25">
      <c r="A66" s="1" t="s">
        <v>221</v>
      </c>
      <c r="B66" s="26" t="s">
        <v>417</v>
      </c>
      <c r="C66" s="41" t="s">
        <v>221</v>
      </c>
      <c r="D66" s="169" t="s">
        <v>418</v>
      </c>
      <c r="E66" s="169" t="s">
        <v>282</v>
      </c>
      <c r="F66" s="169" t="s">
        <v>282</v>
      </c>
      <c r="G66" s="169" t="s">
        <v>283</v>
      </c>
      <c r="H66" s="169" t="s">
        <v>282</v>
      </c>
      <c r="I66" s="168" t="s">
        <v>284</v>
      </c>
      <c r="J66" s="188" t="s">
        <v>282</v>
      </c>
      <c r="K66" s="169" t="s">
        <v>283</v>
      </c>
      <c r="L66" s="188" t="s">
        <v>283</v>
      </c>
      <c r="M66" s="186" t="s">
        <v>282</v>
      </c>
      <c r="N66" s="186" t="s">
        <v>283</v>
      </c>
      <c r="O66" s="171" t="s">
        <v>282</v>
      </c>
      <c r="P66" s="48" t="s">
        <v>419</v>
      </c>
      <c r="Q66" s="5" t="s">
        <v>286</v>
      </c>
      <c r="R66" s="6" t="s">
        <v>221</v>
      </c>
      <c r="S66" s="1" t="s">
        <v>221</v>
      </c>
      <c r="T66" s="1" t="s">
        <v>221</v>
      </c>
      <c r="U66" s="1" t="s">
        <v>221</v>
      </c>
    </row>
    <row r="67" spans="1:21" x14ac:dyDescent="0.25">
      <c r="A67" s="1" t="s">
        <v>221</v>
      </c>
      <c r="B67" s="26" t="s">
        <v>420</v>
      </c>
      <c r="C67" s="41" t="s">
        <v>221</v>
      </c>
      <c r="D67" s="169" t="s">
        <v>421</v>
      </c>
      <c r="E67" s="169" t="s">
        <v>282</v>
      </c>
      <c r="F67" s="169" t="s">
        <v>282</v>
      </c>
      <c r="G67" s="169" t="s">
        <v>283</v>
      </c>
      <c r="H67" s="169" t="s">
        <v>282</v>
      </c>
      <c r="I67" s="168" t="s">
        <v>284</v>
      </c>
      <c r="J67" s="188" t="s">
        <v>282</v>
      </c>
      <c r="K67" s="169" t="s">
        <v>283</v>
      </c>
      <c r="L67" s="188" t="s">
        <v>283</v>
      </c>
      <c r="M67" s="186" t="s">
        <v>282</v>
      </c>
      <c r="N67" s="186" t="s">
        <v>283</v>
      </c>
      <c r="O67" s="171" t="s">
        <v>282</v>
      </c>
      <c r="P67" s="48" t="s">
        <v>422</v>
      </c>
      <c r="Q67" s="5" t="s">
        <v>286</v>
      </c>
      <c r="R67" s="6" t="s">
        <v>221</v>
      </c>
      <c r="S67" s="1" t="s">
        <v>221</v>
      </c>
      <c r="T67" s="1" t="s">
        <v>221</v>
      </c>
      <c r="U67" s="1" t="s">
        <v>221</v>
      </c>
    </row>
    <row r="68" spans="1:21" x14ac:dyDescent="0.25">
      <c r="A68" s="18" t="s">
        <v>423</v>
      </c>
      <c r="B68" s="26" t="s">
        <v>424</v>
      </c>
      <c r="C68" s="41" t="s">
        <v>221</v>
      </c>
      <c r="D68" s="169" t="s">
        <v>425</v>
      </c>
      <c r="E68" s="169" t="s">
        <v>282</v>
      </c>
      <c r="F68" s="169" t="s">
        <v>282</v>
      </c>
      <c r="G68" s="169" t="s">
        <v>283</v>
      </c>
      <c r="H68" s="169" t="s">
        <v>282</v>
      </c>
      <c r="I68" s="168" t="s">
        <v>284</v>
      </c>
      <c r="J68" s="189" t="s">
        <v>282</v>
      </c>
      <c r="K68" s="190" t="s">
        <v>283</v>
      </c>
      <c r="L68" s="188" t="s">
        <v>283</v>
      </c>
      <c r="M68" s="186" t="s">
        <v>282</v>
      </c>
      <c r="N68" s="186" t="s">
        <v>283</v>
      </c>
      <c r="O68" s="171" t="s">
        <v>282</v>
      </c>
      <c r="P68" s="48" t="s">
        <v>426</v>
      </c>
      <c r="Q68" s="5" t="s">
        <v>286</v>
      </c>
      <c r="R68" s="6" t="s">
        <v>221</v>
      </c>
      <c r="S68" s="1" t="s">
        <v>221</v>
      </c>
      <c r="T68" s="1" t="s">
        <v>221</v>
      </c>
      <c r="U68" s="1" t="s">
        <v>221</v>
      </c>
    </row>
    <row r="69" spans="1:21" x14ac:dyDescent="0.25">
      <c r="A69" s="1" t="s">
        <v>221</v>
      </c>
      <c r="B69" s="56" t="s">
        <v>427</v>
      </c>
      <c r="C69" s="41" t="s">
        <v>221</v>
      </c>
      <c r="D69" s="181" t="s">
        <v>428</v>
      </c>
      <c r="E69" s="181" t="s">
        <v>282</v>
      </c>
      <c r="F69" s="181" t="s">
        <v>282</v>
      </c>
      <c r="G69" s="181" t="s">
        <v>283</v>
      </c>
      <c r="H69" s="181" t="s">
        <v>282</v>
      </c>
      <c r="I69" s="182" t="s">
        <v>284</v>
      </c>
      <c r="J69" s="183" t="s">
        <v>282</v>
      </c>
      <c r="K69" s="181" t="s">
        <v>283</v>
      </c>
      <c r="L69" s="181" t="s">
        <v>283</v>
      </c>
      <c r="M69" s="181" t="s">
        <v>282</v>
      </c>
      <c r="N69" s="181" t="s">
        <v>283</v>
      </c>
      <c r="O69" s="181" t="s">
        <v>282</v>
      </c>
      <c r="P69" s="60" t="s">
        <v>429</v>
      </c>
      <c r="Q69" s="5" t="s">
        <v>286</v>
      </c>
      <c r="R69" s="6" t="s">
        <v>221</v>
      </c>
      <c r="S69" s="1" t="s">
        <v>221</v>
      </c>
      <c r="T69" s="1" t="s">
        <v>221</v>
      </c>
      <c r="U69" s="1" t="s">
        <v>221</v>
      </c>
    </row>
    <row r="70" spans="1:21" x14ac:dyDescent="0.25">
      <c r="A70" s="18" t="s">
        <v>430</v>
      </c>
      <c r="B70" s="26" t="s">
        <v>431</v>
      </c>
      <c r="C70" s="41" t="s">
        <v>221</v>
      </c>
      <c r="D70" s="184" t="s">
        <v>432</v>
      </c>
      <c r="E70" s="184" t="s">
        <v>282</v>
      </c>
      <c r="F70" s="184" t="s">
        <v>282</v>
      </c>
      <c r="G70" s="184" t="s">
        <v>283</v>
      </c>
      <c r="H70" s="184" t="s">
        <v>282</v>
      </c>
      <c r="I70" s="185" t="s">
        <v>284</v>
      </c>
      <c r="J70" s="193" t="s">
        <v>282</v>
      </c>
      <c r="K70" s="184" t="s">
        <v>283</v>
      </c>
      <c r="L70" s="193" t="s">
        <v>283</v>
      </c>
      <c r="M70" s="193" t="s">
        <v>282</v>
      </c>
      <c r="N70" s="186" t="s">
        <v>283</v>
      </c>
      <c r="O70" s="187" t="s">
        <v>282</v>
      </c>
      <c r="P70" s="72" t="s">
        <v>433</v>
      </c>
      <c r="Q70" s="5" t="s">
        <v>286</v>
      </c>
      <c r="R70" s="6" t="s">
        <v>221</v>
      </c>
      <c r="S70" s="1" t="s">
        <v>221</v>
      </c>
      <c r="T70" s="1" t="s">
        <v>221</v>
      </c>
      <c r="U70" s="1" t="s">
        <v>221</v>
      </c>
    </row>
    <row r="71" spans="1:21" x14ac:dyDescent="0.25">
      <c r="A71" s="18" t="s">
        <v>221</v>
      </c>
      <c r="B71" s="67" t="s">
        <v>434</v>
      </c>
      <c r="C71" s="41" t="s">
        <v>221</v>
      </c>
      <c r="D71" s="169" t="s">
        <v>435</v>
      </c>
      <c r="E71" s="169" t="s">
        <v>282</v>
      </c>
      <c r="F71" s="169" t="s">
        <v>282</v>
      </c>
      <c r="G71" s="169" t="s">
        <v>283</v>
      </c>
      <c r="H71" s="169" t="s">
        <v>282</v>
      </c>
      <c r="I71" s="168" t="s">
        <v>284</v>
      </c>
      <c r="J71" s="194" t="s">
        <v>282</v>
      </c>
      <c r="K71" s="169" t="s">
        <v>283</v>
      </c>
      <c r="L71" s="194" t="s">
        <v>283</v>
      </c>
      <c r="M71" s="193" t="s">
        <v>282</v>
      </c>
      <c r="N71" s="186" t="s">
        <v>283</v>
      </c>
      <c r="O71" s="171" t="s">
        <v>282</v>
      </c>
      <c r="P71" s="48" t="s">
        <v>436</v>
      </c>
      <c r="Q71" s="5" t="s">
        <v>286</v>
      </c>
      <c r="R71" s="6" t="s">
        <v>221</v>
      </c>
      <c r="S71" s="1" t="s">
        <v>221</v>
      </c>
      <c r="T71" s="1" t="s">
        <v>221</v>
      </c>
      <c r="U71" s="1" t="s">
        <v>221</v>
      </c>
    </row>
    <row r="72" spans="1:21" x14ac:dyDescent="0.25">
      <c r="A72" s="18" t="s">
        <v>221</v>
      </c>
      <c r="B72" s="67" t="s">
        <v>437</v>
      </c>
      <c r="C72" s="41" t="s">
        <v>221</v>
      </c>
      <c r="D72" s="169" t="s">
        <v>282</v>
      </c>
      <c r="E72" s="169" t="s">
        <v>282</v>
      </c>
      <c r="F72" s="169" t="s">
        <v>282</v>
      </c>
      <c r="G72" s="169" t="s">
        <v>283</v>
      </c>
      <c r="H72" s="169" t="s">
        <v>282</v>
      </c>
      <c r="I72" s="168" t="s">
        <v>284</v>
      </c>
      <c r="J72" s="194" t="s">
        <v>282</v>
      </c>
      <c r="K72" s="169" t="s">
        <v>283</v>
      </c>
      <c r="L72" s="194" t="s">
        <v>283</v>
      </c>
      <c r="M72" s="193" t="s">
        <v>282</v>
      </c>
      <c r="N72" s="193" t="s">
        <v>283</v>
      </c>
      <c r="O72" s="171" t="s">
        <v>282</v>
      </c>
      <c r="P72" s="48" t="s">
        <v>315</v>
      </c>
      <c r="Q72" s="5" t="s">
        <v>286</v>
      </c>
      <c r="R72" s="6" t="s">
        <v>221</v>
      </c>
      <c r="S72" s="1" t="s">
        <v>221</v>
      </c>
      <c r="T72" s="1" t="s">
        <v>221</v>
      </c>
      <c r="U72" s="1" t="s">
        <v>221</v>
      </c>
    </row>
    <row r="73" spans="1:21" x14ac:dyDescent="0.25">
      <c r="A73" s="18" t="s">
        <v>221</v>
      </c>
      <c r="B73" s="67" t="s">
        <v>438</v>
      </c>
      <c r="C73" s="41" t="s">
        <v>221</v>
      </c>
      <c r="D73" s="169" t="s">
        <v>439</v>
      </c>
      <c r="E73" s="169" t="s">
        <v>282</v>
      </c>
      <c r="F73" s="169" t="s">
        <v>282</v>
      </c>
      <c r="G73" s="169" t="s">
        <v>283</v>
      </c>
      <c r="H73" s="169" t="s">
        <v>282</v>
      </c>
      <c r="I73" s="168" t="s">
        <v>284</v>
      </c>
      <c r="J73" s="194" t="s">
        <v>282</v>
      </c>
      <c r="K73" s="169" t="s">
        <v>283</v>
      </c>
      <c r="L73" s="194" t="s">
        <v>283</v>
      </c>
      <c r="M73" s="193" t="s">
        <v>282</v>
      </c>
      <c r="N73" s="193" t="s">
        <v>283</v>
      </c>
      <c r="O73" s="171" t="s">
        <v>282</v>
      </c>
      <c r="P73" s="48" t="s">
        <v>440</v>
      </c>
      <c r="Q73" s="5" t="s">
        <v>286</v>
      </c>
      <c r="R73" s="6" t="s">
        <v>221</v>
      </c>
      <c r="S73" s="1" t="s">
        <v>221</v>
      </c>
      <c r="T73" s="1" t="s">
        <v>221</v>
      </c>
      <c r="U73" s="1" t="s">
        <v>221</v>
      </c>
    </row>
    <row r="74" spans="1:21" x14ac:dyDescent="0.25">
      <c r="A74" s="18" t="s">
        <v>221</v>
      </c>
      <c r="B74" s="67" t="s">
        <v>441</v>
      </c>
      <c r="C74" s="41" t="s">
        <v>221</v>
      </c>
      <c r="D74" s="169" t="s">
        <v>442</v>
      </c>
      <c r="E74" s="169" t="s">
        <v>282</v>
      </c>
      <c r="F74" s="169" t="s">
        <v>282</v>
      </c>
      <c r="G74" s="169" t="s">
        <v>283</v>
      </c>
      <c r="H74" s="169" t="s">
        <v>282</v>
      </c>
      <c r="I74" s="168" t="s">
        <v>284</v>
      </c>
      <c r="J74" s="194" t="s">
        <v>282</v>
      </c>
      <c r="K74" s="169" t="s">
        <v>283</v>
      </c>
      <c r="L74" s="194" t="s">
        <v>283</v>
      </c>
      <c r="M74" s="193" t="s">
        <v>282</v>
      </c>
      <c r="N74" s="193" t="s">
        <v>283</v>
      </c>
      <c r="O74" s="171" t="s">
        <v>282</v>
      </c>
      <c r="P74" s="48" t="s">
        <v>443</v>
      </c>
      <c r="Q74" s="5" t="s">
        <v>286</v>
      </c>
      <c r="R74" s="6" t="s">
        <v>221</v>
      </c>
      <c r="S74" s="1" t="s">
        <v>221</v>
      </c>
      <c r="T74" s="1" t="s">
        <v>221</v>
      </c>
      <c r="U74" s="1" t="s">
        <v>221</v>
      </c>
    </row>
    <row r="75" spans="1:21" x14ac:dyDescent="0.25">
      <c r="A75" s="18" t="s">
        <v>221</v>
      </c>
      <c r="B75" s="67" t="s">
        <v>444</v>
      </c>
      <c r="C75" s="41" t="s">
        <v>221</v>
      </c>
      <c r="D75" s="169" t="s">
        <v>282</v>
      </c>
      <c r="E75" s="169" t="s">
        <v>282</v>
      </c>
      <c r="F75" s="169" t="s">
        <v>282</v>
      </c>
      <c r="G75" s="169" t="s">
        <v>283</v>
      </c>
      <c r="H75" s="169" t="s">
        <v>282</v>
      </c>
      <c r="I75" s="168" t="s">
        <v>284</v>
      </c>
      <c r="J75" s="194" t="s">
        <v>282</v>
      </c>
      <c r="K75" s="169" t="s">
        <v>283</v>
      </c>
      <c r="L75" s="194" t="s">
        <v>283</v>
      </c>
      <c r="M75" s="193" t="s">
        <v>282</v>
      </c>
      <c r="N75" s="193" t="s">
        <v>283</v>
      </c>
      <c r="O75" s="171" t="s">
        <v>282</v>
      </c>
      <c r="P75" s="48" t="s">
        <v>315</v>
      </c>
      <c r="Q75" s="5" t="s">
        <v>286</v>
      </c>
      <c r="R75" s="6" t="s">
        <v>221</v>
      </c>
      <c r="S75" s="1" t="s">
        <v>221</v>
      </c>
      <c r="T75" s="1" t="s">
        <v>221</v>
      </c>
      <c r="U75" s="1" t="s">
        <v>221</v>
      </c>
    </row>
    <row r="76" spans="1:21" x14ac:dyDescent="0.25">
      <c r="A76" s="18" t="s">
        <v>221</v>
      </c>
      <c r="B76" s="67" t="s">
        <v>445</v>
      </c>
      <c r="C76" s="41" t="s">
        <v>221</v>
      </c>
      <c r="D76" s="169" t="s">
        <v>446</v>
      </c>
      <c r="E76" s="169" t="s">
        <v>282</v>
      </c>
      <c r="F76" s="169" t="s">
        <v>282</v>
      </c>
      <c r="G76" s="169" t="s">
        <v>283</v>
      </c>
      <c r="H76" s="169" t="s">
        <v>282</v>
      </c>
      <c r="I76" s="168" t="s">
        <v>284</v>
      </c>
      <c r="J76" s="194" t="s">
        <v>282</v>
      </c>
      <c r="K76" s="169" t="s">
        <v>283</v>
      </c>
      <c r="L76" s="194" t="s">
        <v>283</v>
      </c>
      <c r="M76" s="193" t="s">
        <v>282</v>
      </c>
      <c r="N76" s="186" t="s">
        <v>283</v>
      </c>
      <c r="O76" s="171" t="s">
        <v>282</v>
      </c>
      <c r="P76" s="48" t="s">
        <v>447</v>
      </c>
      <c r="Q76" s="5" t="s">
        <v>286</v>
      </c>
      <c r="R76" s="6" t="s">
        <v>221</v>
      </c>
      <c r="S76" s="1" t="s">
        <v>221</v>
      </c>
      <c r="T76" s="1" t="s">
        <v>221</v>
      </c>
      <c r="U76" s="1" t="s">
        <v>221</v>
      </c>
    </row>
    <row r="77" spans="1:21" x14ac:dyDescent="0.25">
      <c r="A77" s="18" t="s">
        <v>221</v>
      </c>
      <c r="B77" s="67" t="s">
        <v>448</v>
      </c>
      <c r="C77" s="41" t="s">
        <v>221</v>
      </c>
      <c r="D77" s="169" t="s">
        <v>282</v>
      </c>
      <c r="E77" s="169" t="s">
        <v>282</v>
      </c>
      <c r="F77" s="169" t="s">
        <v>282</v>
      </c>
      <c r="G77" s="169" t="s">
        <v>283</v>
      </c>
      <c r="H77" s="169" t="s">
        <v>282</v>
      </c>
      <c r="I77" s="168" t="s">
        <v>284</v>
      </c>
      <c r="J77" s="194" t="s">
        <v>282</v>
      </c>
      <c r="K77" s="169" t="s">
        <v>283</v>
      </c>
      <c r="L77" s="194" t="s">
        <v>283</v>
      </c>
      <c r="M77" s="193" t="s">
        <v>282</v>
      </c>
      <c r="N77" s="186" t="s">
        <v>283</v>
      </c>
      <c r="O77" s="171" t="s">
        <v>282</v>
      </c>
      <c r="P77" s="48" t="s">
        <v>315</v>
      </c>
      <c r="Q77" s="5" t="s">
        <v>286</v>
      </c>
      <c r="R77" s="6" t="s">
        <v>221</v>
      </c>
      <c r="S77" s="1" t="s">
        <v>221</v>
      </c>
      <c r="T77" s="1" t="s">
        <v>221</v>
      </c>
      <c r="U77" s="1" t="s">
        <v>221</v>
      </c>
    </row>
    <row r="78" spans="1:21" x14ac:dyDescent="0.25">
      <c r="A78" s="18" t="s">
        <v>221</v>
      </c>
      <c r="B78" s="67" t="s">
        <v>449</v>
      </c>
      <c r="C78" s="41" t="s">
        <v>221</v>
      </c>
      <c r="D78" s="169" t="s">
        <v>450</v>
      </c>
      <c r="E78" s="169" t="s">
        <v>282</v>
      </c>
      <c r="F78" s="169" t="s">
        <v>282</v>
      </c>
      <c r="G78" s="169" t="s">
        <v>283</v>
      </c>
      <c r="H78" s="169" t="s">
        <v>282</v>
      </c>
      <c r="I78" s="168" t="s">
        <v>284</v>
      </c>
      <c r="J78" s="194" t="s">
        <v>282</v>
      </c>
      <c r="K78" s="169" t="s">
        <v>283</v>
      </c>
      <c r="L78" s="194" t="s">
        <v>283</v>
      </c>
      <c r="M78" s="193" t="s">
        <v>282</v>
      </c>
      <c r="N78" s="186" t="s">
        <v>283</v>
      </c>
      <c r="O78" s="171" t="s">
        <v>282</v>
      </c>
      <c r="P78" s="48" t="s">
        <v>451</v>
      </c>
      <c r="Q78" s="5" t="s">
        <v>286</v>
      </c>
      <c r="R78" s="6" t="s">
        <v>221</v>
      </c>
      <c r="S78" s="1" t="s">
        <v>221</v>
      </c>
      <c r="T78" s="1" t="s">
        <v>221</v>
      </c>
      <c r="U78" s="1" t="s">
        <v>221</v>
      </c>
    </row>
    <row r="79" spans="1:21" x14ac:dyDescent="0.25">
      <c r="A79" s="18" t="s">
        <v>221</v>
      </c>
      <c r="B79" s="67" t="s">
        <v>452</v>
      </c>
      <c r="C79" s="41" t="s">
        <v>221</v>
      </c>
      <c r="D79" s="169" t="s">
        <v>453</v>
      </c>
      <c r="E79" s="169" t="s">
        <v>282</v>
      </c>
      <c r="F79" s="169" t="s">
        <v>282</v>
      </c>
      <c r="G79" s="169" t="s">
        <v>283</v>
      </c>
      <c r="H79" s="169" t="s">
        <v>282</v>
      </c>
      <c r="I79" s="168" t="s">
        <v>284</v>
      </c>
      <c r="J79" s="194" t="s">
        <v>282</v>
      </c>
      <c r="K79" s="169" t="s">
        <v>283</v>
      </c>
      <c r="L79" s="194" t="s">
        <v>283</v>
      </c>
      <c r="M79" s="193" t="s">
        <v>282</v>
      </c>
      <c r="N79" s="186" t="s">
        <v>283</v>
      </c>
      <c r="O79" s="171" t="s">
        <v>282</v>
      </c>
      <c r="P79" s="48" t="s">
        <v>454</v>
      </c>
      <c r="Q79" s="5" t="s">
        <v>286</v>
      </c>
      <c r="R79" s="6" t="s">
        <v>221</v>
      </c>
      <c r="S79" s="1" t="s">
        <v>221</v>
      </c>
      <c r="T79" s="1" t="s">
        <v>221</v>
      </c>
      <c r="U79" s="1" t="s">
        <v>221</v>
      </c>
    </row>
    <row r="80" spans="1:21" x14ac:dyDescent="0.25">
      <c r="A80" s="18" t="s">
        <v>221</v>
      </c>
      <c r="B80" s="67" t="s">
        <v>455</v>
      </c>
      <c r="C80" s="41" t="s">
        <v>221</v>
      </c>
      <c r="D80" s="169" t="s">
        <v>282</v>
      </c>
      <c r="E80" s="169" t="s">
        <v>282</v>
      </c>
      <c r="F80" s="169" t="s">
        <v>282</v>
      </c>
      <c r="G80" s="169" t="s">
        <v>283</v>
      </c>
      <c r="H80" s="169" t="s">
        <v>282</v>
      </c>
      <c r="I80" s="168" t="s">
        <v>284</v>
      </c>
      <c r="J80" s="194" t="s">
        <v>282</v>
      </c>
      <c r="K80" s="169" t="s">
        <v>283</v>
      </c>
      <c r="L80" s="194" t="s">
        <v>283</v>
      </c>
      <c r="M80" s="193" t="s">
        <v>282</v>
      </c>
      <c r="N80" s="186" t="s">
        <v>283</v>
      </c>
      <c r="O80" s="171" t="s">
        <v>282</v>
      </c>
      <c r="P80" s="48" t="s">
        <v>315</v>
      </c>
      <c r="Q80" s="5" t="s">
        <v>286</v>
      </c>
      <c r="R80" s="6" t="s">
        <v>221</v>
      </c>
      <c r="S80" s="1" t="s">
        <v>221</v>
      </c>
      <c r="T80" s="1" t="s">
        <v>221</v>
      </c>
      <c r="U80" s="1" t="s">
        <v>221</v>
      </c>
    </row>
    <row r="81" spans="1:21" x14ac:dyDescent="0.25">
      <c r="A81" s="18" t="s">
        <v>221</v>
      </c>
      <c r="B81" s="67" t="s">
        <v>456</v>
      </c>
      <c r="C81" s="41" t="s">
        <v>221</v>
      </c>
      <c r="D81" s="169" t="s">
        <v>282</v>
      </c>
      <c r="E81" s="169" t="s">
        <v>282</v>
      </c>
      <c r="F81" s="169" t="s">
        <v>282</v>
      </c>
      <c r="G81" s="169" t="s">
        <v>283</v>
      </c>
      <c r="H81" s="169" t="s">
        <v>282</v>
      </c>
      <c r="I81" s="168" t="s">
        <v>284</v>
      </c>
      <c r="J81" s="194" t="s">
        <v>282</v>
      </c>
      <c r="K81" s="169" t="s">
        <v>283</v>
      </c>
      <c r="L81" s="194" t="s">
        <v>283</v>
      </c>
      <c r="M81" s="193" t="s">
        <v>282</v>
      </c>
      <c r="N81" s="193" t="s">
        <v>283</v>
      </c>
      <c r="O81" s="171" t="s">
        <v>282</v>
      </c>
      <c r="P81" s="48" t="s">
        <v>315</v>
      </c>
      <c r="Q81" s="5" t="s">
        <v>286</v>
      </c>
      <c r="R81" s="6" t="s">
        <v>221</v>
      </c>
      <c r="S81" s="1" t="s">
        <v>221</v>
      </c>
      <c r="T81" s="1" t="s">
        <v>221</v>
      </c>
      <c r="U81" s="1" t="s">
        <v>221</v>
      </c>
    </row>
    <row r="82" spans="1:21" x14ac:dyDescent="0.25">
      <c r="A82" s="18" t="s">
        <v>221</v>
      </c>
      <c r="B82" s="67" t="s">
        <v>457</v>
      </c>
      <c r="C82" s="41" t="s">
        <v>221</v>
      </c>
      <c r="D82" s="169" t="s">
        <v>282</v>
      </c>
      <c r="E82" s="169" t="s">
        <v>282</v>
      </c>
      <c r="F82" s="169" t="s">
        <v>282</v>
      </c>
      <c r="G82" s="169" t="s">
        <v>283</v>
      </c>
      <c r="H82" s="169" t="s">
        <v>282</v>
      </c>
      <c r="I82" s="168" t="s">
        <v>284</v>
      </c>
      <c r="J82" s="194" t="s">
        <v>282</v>
      </c>
      <c r="K82" s="169" t="s">
        <v>283</v>
      </c>
      <c r="L82" s="194" t="s">
        <v>283</v>
      </c>
      <c r="M82" s="193" t="s">
        <v>282</v>
      </c>
      <c r="N82" s="193" t="s">
        <v>283</v>
      </c>
      <c r="O82" s="171" t="s">
        <v>282</v>
      </c>
      <c r="P82" s="48" t="s">
        <v>315</v>
      </c>
      <c r="Q82" s="5" t="s">
        <v>286</v>
      </c>
      <c r="R82" s="6" t="s">
        <v>221</v>
      </c>
      <c r="S82" s="1" t="s">
        <v>221</v>
      </c>
      <c r="T82" s="1" t="s">
        <v>221</v>
      </c>
      <c r="U82" s="1" t="s">
        <v>221</v>
      </c>
    </row>
    <row r="83" spans="1:21" x14ac:dyDescent="0.25">
      <c r="A83" s="18" t="s">
        <v>221</v>
      </c>
      <c r="B83" s="67" t="s">
        <v>458</v>
      </c>
      <c r="C83" s="41" t="s">
        <v>221</v>
      </c>
      <c r="D83" s="169" t="s">
        <v>282</v>
      </c>
      <c r="E83" s="169" t="s">
        <v>282</v>
      </c>
      <c r="F83" s="169" t="s">
        <v>282</v>
      </c>
      <c r="G83" s="169" t="s">
        <v>283</v>
      </c>
      <c r="H83" s="169" t="s">
        <v>282</v>
      </c>
      <c r="I83" s="168" t="s">
        <v>284</v>
      </c>
      <c r="J83" s="194" t="s">
        <v>282</v>
      </c>
      <c r="K83" s="169" t="s">
        <v>283</v>
      </c>
      <c r="L83" s="194" t="s">
        <v>283</v>
      </c>
      <c r="M83" s="193" t="s">
        <v>282</v>
      </c>
      <c r="N83" s="193" t="s">
        <v>283</v>
      </c>
      <c r="O83" s="171" t="s">
        <v>282</v>
      </c>
      <c r="P83" s="48" t="s">
        <v>315</v>
      </c>
      <c r="Q83" s="5" t="s">
        <v>286</v>
      </c>
      <c r="R83" s="6" t="s">
        <v>221</v>
      </c>
      <c r="S83" s="1" t="s">
        <v>221</v>
      </c>
      <c r="T83" s="1" t="s">
        <v>221</v>
      </c>
      <c r="U83" s="1" t="s">
        <v>221</v>
      </c>
    </row>
    <row r="84" spans="1:21" x14ac:dyDescent="0.25">
      <c r="A84" s="18" t="s">
        <v>221</v>
      </c>
      <c r="B84" s="67" t="s">
        <v>459</v>
      </c>
      <c r="C84" s="41" t="s">
        <v>221</v>
      </c>
      <c r="D84" s="169" t="s">
        <v>460</v>
      </c>
      <c r="E84" s="169" t="s">
        <v>282</v>
      </c>
      <c r="F84" s="169" t="s">
        <v>282</v>
      </c>
      <c r="G84" s="169" t="s">
        <v>283</v>
      </c>
      <c r="H84" s="169" t="s">
        <v>282</v>
      </c>
      <c r="I84" s="168" t="s">
        <v>284</v>
      </c>
      <c r="J84" s="194" t="s">
        <v>282</v>
      </c>
      <c r="K84" s="169" t="s">
        <v>283</v>
      </c>
      <c r="L84" s="194" t="s">
        <v>283</v>
      </c>
      <c r="M84" s="193" t="s">
        <v>282</v>
      </c>
      <c r="N84" s="193" t="s">
        <v>283</v>
      </c>
      <c r="O84" s="171" t="s">
        <v>282</v>
      </c>
      <c r="P84" s="48" t="s">
        <v>461</v>
      </c>
      <c r="Q84" s="5" t="s">
        <v>286</v>
      </c>
      <c r="R84" s="6" t="s">
        <v>221</v>
      </c>
      <c r="S84" s="1" t="s">
        <v>221</v>
      </c>
      <c r="T84" s="1" t="s">
        <v>221</v>
      </c>
      <c r="U84" s="1" t="s">
        <v>221</v>
      </c>
    </row>
    <row r="85" spans="1:21" x14ac:dyDescent="0.25">
      <c r="A85" s="18" t="s">
        <v>221</v>
      </c>
      <c r="B85" s="67" t="s">
        <v>462</v>
      </c>
      <c r="C85" s="41" t="s">
        <v>221</v>
      </c>
      <c r="D85" s="169" t="s">
        <v>463</v>
      </c>
      <c r="E85" s="169" t="s">
        <v>282</v>
      </c>
      <c r="F85" s="169" t="s">
        <v>282</v>
      </c>
      <c r="G85" s="169" t="s">
        <v>283</v>
      </c>
      <c r="H85" s="169" t="s">
        <v>282</v>
      </c>
      <c r="I85" s="168" t="s">
        <v>284</v>
      </c>
      <c r="J85" s="194" t="s">
        <v>282</v>
      </c>
      <c r="K85" s="169" t="s">
        <v>283</v>
      </c>
      <c r="L85" s="194" t="s">
        <v>283</v>
      </c>
      <c r="M85" s="193" t="s">
        <v>282</v>
      </c>
      <c r="N85" s="193" t="s">
        <v>283</v>
      </c>
      <c r="O85" s="171" t="s">
        <v>282</v>
      </c>
      <c r="P85" s="48" t="s">
        <v>464</v>
      </c>
      <c r="Q85" s="5" t="s">
        <v>286</v>
      </c>
      <c r="R85" s="6" t="s">
        <v>221</v>
      </c>
      <c r="S85" s="1" t="s">
        <v>221</v>
      </c>
      <c r="T85" s="1" t="s">
        <v>221</v>
      </c>
      <c r="U85" s="1" t="s">
        <v>221</v>
      </c>
    </row>
    <row r="86" spans="1:21" x14ac:dyDescent="0.25">
      <c r="A86" s="18" t="s">
        <v>221</v>
      </c>
      <c r="B86" s="67" t="s">
        <v>465</v>
      </c>
      <c r="C86" s="41" t="s">
        <v>221</v>
      </c>
      <c r="D86" s="169" t="s">
        <v>282</v>
      </c>
      <c r="E86" s="169" t="s">
        <v>282</v>
      </c>
      <c r="F86" s="169" t="s">
        <v>282</v>
      </c>
      <c r="G86" s="169" t="s">
        <v>283</v>
      </c>
      <c r="H86" s="169" t="s">
        <v>282</v>
      </c>
      <c r="I86" s="168" t="s">
        <v>284</v>
      </c>
      <c r="J86" s="194" t="s">
        <v>282</v>
      </c>
      <c r="K86" s="169" t="s">
        <v>283</v>
      </c>
      <c r="L86" s="194" t="s">
        <v>283</v>
      </c>
      <c r="M86" s="193" t="s">
        <v>282</v>
      </c>
      <c r="N86" s="193" t="s">
        <v>283</v>
      </c>
      <c r="O86" s="171" t="s">
        <v>282</v>
      </c>
      <c r="P86" s="48" t="s">
        <v>315</v>
      </c>
      <c r="Q86" s="5" t="s">
        <v>286</v>
      </c>
      <c r="R86" s="6" t="s">
        <v>221</v>
      </c>
      <c r="S86" s="1" t="s">
        <v>221</v>
      </c>
      <c r="T86" s="1" t="s">
        <v>221</v>
      </c>
      <c r="U86" s="1" t="s">
        <v>221</v>
      </c>
    </row>
    <row r="87" spans="1:21" x14ac:dyDescent="0.25">
      <c r="A87" s="18" t="s">
        <v>221</v>
      </c>
      <c r="B87" s="67" t="s">
        <v>466</v>
      </c>
      <c r="C87" s="41" t="s">
        <v>221</v>
      </c>
      <c r="D87" s="169" t="s">
        <v>282</v>
      </c>
      <c r="E87" s="169" t="s">
        <v>282</v>
      </c>
      <c r="F87" s="169" t="s">
        <v>282</v>
      </c>
      <c r="G87" s="169" t="s">
        <v>283</v>
      </c>
      <c r="H87" s="169" t="s">
        <v>282</v>
      </c>
      <c r="I87" s="168" t="s">
        <v>284</v>
      </c>
      <c r="J87" s="194" t="s">
        <v>282</v>
      </c>
      <c r="K87" s="169" t="s">
        <v>283</v>
      </c>
      <c r="L87" s="194" t="s">
        <v>283</v>
      </c>
      <c r="M87" s="193" t="s">
        <v>282</v>
      </c>
      <c r="N87" s="193" t="s">
        <v>283</v>
      </c>
      <c r="O87" s="171" t="s">
        <v>282</v>
      </c>
      <c r="P87" s="48" t="s">
        <v>315</v>
      </c>
      <c r="Q87" s="5" t="s">
        <v>286</v>
      </c>
      <c r="R87" s="6" t="s">
        <v>221</v>
      </c>
      <c r="S87" s="1" t="s">
        <v>221</v>
      </c>
      <c r="T87" s="1" t="s">
        <v>221</v>
      </c>
      <c r="U87" s="1" t="s">
        <v>221</v>
      </c>
    </row>
    <row r="88" spans="1:21" x14ac:dyDescent="0.25">
      <c r="A88" s="18" t="s">
        <v>221</v>
      </c>
      <c r="B88" s="26" t="s">
        <v>467</v>
      </c>
      <c r="C88" s="41" t="s">
        <v>221</v>
      </c>
      <c r="D88" s="169" t="s">
        <v>282</v>
      </c>
      <c r="E88" s="169" t="s">
        <v>282</v>
      </c>
      <c r="F88" s="169" t="s">
        <v>282</v>
      </c>
      <c r="G88" s="169" t="s">
        <v>283</v>
      </c>
      <c r="H88" s="169" t="s">
        <v>282</v>
      </c>
      <c r="I88" s="168" t="s">
        <v>284</v>
      </c>
      <c r="J88" s="194" t="s">
        <v>282</v>
      </c>
      <c r="K88" s="169" t="s">
        <v>283</v>
      </c>
      <c r="L88" s="194" t="s">
        <v>283</v>
      </c>
      <c r="M88" s="193" t="s">
        <v>282</v>
      </c>
      <c r="N88" s="193" t="s">
        <v>283</v>
      </c>
      <c r="O88" s="171" t="s">
        <v>282</v>
      </c>
      <c r="P88" s="48" t="s">
        <v>315</v>
      </c>
      <c r="Q88" s="5" t="s">
        <v>286</v>
      </c>
      <c r="R88" s="6" t="s">
        <v>221</v>
      </c>
      <c r="S88" s="1" t="s">
        <v>221</v>
      </c>
      <c r="T88" s="1" t="s">
        <v>221</v>
      </c>
      <c r="U88" s="1" t="s">
        <v>221</v>
      </c>
    </row>
    <row r="89" spans="1:21" x14ac:dyDescent="0.25">
      <c r="A89" s="18" t="s">
        <v>221</v>
      </c>
      <c r="B89" s="67" t="s">
        <v>468</v>
      </c>
      <c r="C89" s="41" t="s">
        <v>221</v>
      </c>
      <c r="D89" s="169" t="s">
        <v>282</v>
      </c>
      <c r="E89" s="169" t="s">
        <v>282</v>
      </c>
      <c r="F89" s="169" t="s">
        <v>282</v>
      </c>
      <c r="G89" s="169" t="s">
        <v>283</v>
      </c>
      <c r="H89" s="169" t="s">
        <v>282</v>
      </c>
      <c r="I89" s="168" t="s">
        <v>284</v>
      </c>
      <c r="J89" s="194" t="s">
        <v>282</v>
      </c>
      <c r="K89" s="169" t="s">
        <v>283</v>
      </c>
      <c r="L89" s="194" t="s">
        <v>283</v>
      </c>
      <c r="M89" s="193" t="s">
        <v>282</v>
      </c>
      <c r="N89" s="193" t="s">
        <v>283</v>
      </c>
      <c r="O89" s="171" t="s">
        <v>282</v>
      </c>
      <c r="P89" s="48" t="s">
        <v>315</v>
      </c>
      <c r="Q89" s="5" t="s">
        <v>286</v>
      </c>
      <c r="R89" s="6" t="s">
        <v>221</v>
      </c>
      <c r="S89" s="1" t="s">
        <v>221</v>
      </c>
      <c r="T89" s="1" t="s">
        <v>221</v>
      </c>
      <c r="U89" s="1" t="s">
        <v>221</v>
      </c>
    </row>
    <row r="90" spans="1:21" x14ac:dyDescent="0.25">
      <c r="A90" s="18" t="s">
        <v>221</v>
      </c>
      <c r="B90" s="67" t="s">
        <v>469</v>
      </c>
      <c r="C90" s="41" t="s">
        <v>221</v>
      </c>
      <c r="D90" s="169" t="s">
        <v>470</v>
      </c>
      <c r="E90" s="169" t="s">
        <v>282</v>
      </c>
      <c r="F90" s="169" t="s">
        <v>282</v>
      </c>
      <c r="G90" s="169" t="s">
        <v>283</v>
      </c>
      <c r="H90" s="169" t="s">
        <v>282</v>
      </c>
      <c r="I90" s="168" t="s">
        <v>284</v>
      </c>
      <c r="J90" s="194" t="s">
        <v>282</v>
      </c>
      <c r="K90" s="169" t="s">
        <v>283</v>
      </c>
      <c r="L90" s="194" t="s">
        <v>283</v>
      </c>
      <c r="M90" s="193" t="s">
        <v>282</v>
      </c>
      <c r="N90" s="193" t="s">
        <v>283</v>
      </c>
      <c r="O90" s="171" t="s">
        <v>282</v>
      </c>
      <c r="P90" s="48" t="s">
        <v>471</v>
      </c>
      <c r="Q90" s="5" t="s">
        <v>286</v>
      </c>
      <c r="R90" s="6" t="s">
        <v>221</v>
      </c>
      <c r="S90" s="1" t="s">
        <v>221</v>
      </c>
      <c r="T90" s="1" t="s">
        <v>221</v>
      </c>
      <c r="U90" s="1" t="s">
        <v>221</v>
      </c>
    </row>
    <row r="91" spans="1:21" x14ac:dyDescent="0.25">
      <c r="A91" s="18" t="s">
        <v>221</v>
      </c>
      <c r="B91" s="67" t="s">
        <v>472</v>
      </c>
      <c r="C91" s="41" t="s">
        <v>221</v>
      </c>
      <c r="D91" s="169" t="s">
        <v>282</v>
      </c>
      <c r="E91" s="169" t="s">
        <v>282</v>
      </c>
      <c r="F91" s="169" t="s">
        <v>282</v>
      </c>
      <c r="G91" s="169" t="s">
        <v>283</v>
      </c>
      <c r="H91" s="169" t="s">
        <v>282</v>
      </c>
      <c r="I91" s="168" t="s">
        <v>284</v>
      </c>
      <c r="J91" s="194" t="s">
        <v>282</v>
      </c>
      <c r="K91" s="169" t="s">
        <v>283</v>
      </c>
      <c r="L91" s="194" t="s">
        <v>283</v>
      </c>
      <c r="M91" s="193" t="s">
        <v>282</v>
      </c>
      <c r="N91" s="193" t="s">
        <v>283</v>
      </c>
      <c r="O91" s="171" t="s">
        <v>282</v>
      </c>
      <c r="P91" s="48" t="s">
        <v>315</v>
      </c>
      <c r="Q91" s="5" t="s">
        <v>286</v>
      </c>
      <c r="R91" s="6" t="s">
        <v>221</v>
      </c>
      <c r="S91" s="1" t="s">
        <v>221</v>
      </c>
      <c r="T91" s="1" t="s">
        <v>221</v>
      </c>
      <c r="U91" s="1" t="s">
        <v>221</v>
      </c>
    </row>
    <row r="92" spans="1:21" x14ac:dyDescent="0.25">
      <c r="A92" s="18" t="s">
        <v>221</v>
      </c>
      <c r="B92" s="26" t="s">
        <v>473</v>
      </c>
      <c r="C92" s="41" t="s">
        <v>221</v>
      </c>
      <c r="D92" s="169" t="s">
        <v>474</v>
      </c>
      <c r="E92" s="169" t="s">
        <v>282</v>
      </c>
      <c r="F92" s="169" t="s">
        <v>282</v>
      </c>
      <c r="G92" s="169" t="s">
        <v>283</v>
      </c>
      <c r="H92" s="169" t="s">
        <v>282</v>
      </c>
      <c r="I92" s="168" t="s">
        <v>284</v>
      </c>
      <c r="J92" s="194" t="s">
        <v>282</v>
      </c>
      <c r="K92" s="169" t="s">
        <v>283</v>
      </c>
      <c r="L92" s="194" t="s">
        <v>283</v>
      </c>
      <c r="M92" s="193" t="s">
        <v>282</v>
      </c>
      <c r="N92" s="186" t="s">
        <v>283</v>
      </c>
      <c r="O92" s="171" t="s">
        <v>282</v>
      </c>
      <c r="P92" s="48" t="s">
        <v>475</v>
      </c>
      <c r="Q92" s="5" t="s">
        <v>286</v>
      </c>
      <c r="R92" s="6" t="s">
        <v>221</v>
      </c>
      <c r="S92" s="1" t="s">
        <v>221</v>
      </c>
      <c r="T92" s="1" t="s">
        <v>221</v>
      </c>
      <c r="U92" s="1" t="s">
        <v>221</v>
      </c>
    </row>
    <row r="93" spans="1:21" x14ac:dyDescent="0.25">
      <c r="A93" s="18" t="s">
        <v>221</v>
      </c>
      <c r="B93" s="26" t="s">
        <v>476</v>
      </c>
      <c r="C93" s="41" t="s">
        <v>221</v>
      </c>
      <c r="D93" s="169" t="s">
        <v>282</v>
      </c>
      <c r="E93" s="169" t="s">
        <v>282</v>
      </c>
      <c r="F93" s="169" t="s">
        <v>282</v>
      </c>
      <c r="G93" s="169" t="s">
        <v>283</v>
      </c>
      <c r="H93" s="169" t="s">
        <v>282</v>
      </c>
      <c r="I93" s="168" t="s">
        <v>284</v>
      </c>
      <c r="J93" s="195" t="s">
        <v>282</v>
      </c>
      <c r="K93" s="190" t="s">
        <v>283</v>
      </c>
      <c r="L93" s="194" t="s">
        <v>283</v>
      </c>
      <c r="M93" s="193" t="s">
        <v>282</v>
      </c>
      <c r="N93" s="193" t="s">
        <v>283</v>
      </c>
      <c r="O93" s="171" t="s">
        <v>282</v>
      </c>
      <c r="P93" s="48" t="s">
        <v>315</v>
      </c>
      <c r="Q93" s="5" t="s">
        <v>286</v>
      </c>
      <c r="R93" s="6" t="s">
        <v>221</v>
      </c>
      <c r="S93" s="1" t="s">
        <v>221</v>
      </c>
      <c r="T93" s="1" t="s">
        <v>221</v>
      </c>
      <c r="U93" s="1" t="s">
        <v>221</v>
      </c>
    </row>
    <row r="94" spans="1:21" x14ac:dyDescent="0.25">
      <c r="A94" s="18" t="s">
        <v>477</v>
      </c>
      <c r="B94" s="56" t="s">
        <v>478</v>
      </c>
      <c r="C94" s="41" t="s">
        <v>221</v>
      </c>
      <c r="D94" s="181" t="s">
        <v>479</v>
      </c>
      <c r="E94" s="181" t="s">
        <v>282</v>
      </c>
      <c r="F94" s="181" t="s">
        <v>282</v>
      </c>
      <c r="G94" s="181" t="s">
        <v>283</v>
      </c>
      <c r="H94" s="181" t="s">
        <v>282</v>
      </c>
      <c r="I94" s="182" t="s">
        <v>284</v>
      </c>
      <c r="J94" s="183" t="s">
        <v>282</v>
      </c>
      <c r="K94" s="181" t="s">
        <v>283</v>
      </c>
      <c r="L94" s="181" t="s">
        <v>283</v>
      </c>
      <c r="M94" s="181" t="s">
        <v>282</v>
      </c>
      <c r="N94" s="181" t="s">
        <v>283</v>
      </c>
      <c r="O94" s="181" t="s">
        <v>282</v>
      </c>
      <c r="P94" s="60" t="s">
        <v>480</v>
      </c>
      <c r="Q94" s="5" t="s">
        <v>286</v>
      </c>
      <c r="R94" s="6" t="s">
        <v>221</v>
      </c>
      <c r="S94" s="1" t="s">
        <v>221</v>
      </c>
      <c r="T94" s="1" t="s">
        <v>221</v>
      </c>
      <c r="U94" s="78" t="s">
        <v>221</v>
      </c>
    </row>
    <row r="95" spans="1:21" x14ac:dyDescent="0.25">
      <c r="A95" s="18" t="s">
        <v>481</v>
      </c>
      <c r="B95" s="26" t="s">
        <v>482</v>
      </c>
      <c r="C95" s="41" t="s">
        <v>221</v>
      </c>
      <c r="D95" s="184" t="s">
        <v>483</v>
      </c>
      <c r="E95" s="184" t="s">
        <v>282</v>
      </c>
      <c r="F95" s="184" t="s">
        <v>282</v>
      </c>
      <c r="G95" s="184" t="s">
        <v>283</v>
      </c>
      <c r="H95" s="184" t="s">
        <v>282</v>
      </c>
      <c r="I95" s="185" t="s">
        <v>284</v>
      </c>
      <c r="J95" s="193" t="s">
        <v>282</v>
      </c>
      <c r="K95" s="184" t="s">
        <v>283</v>
      </c>
      <c r="L95" s="193" t="s">
        <v>283</v>
      </c>
      <c r="M95" s="193" t="s">
        <v>282</v>
      </c>
      <c r="N95" s="186" t="s">
        <v>283</v>
      </c>
      <c r="O95" s="187" t="s">
        <v>282</v>
      </c>
      <c r="P95" s="65" t="s">
        <v>484</v>
      </c>
      <c r="Q95" s="5" t="s">
        <v>286</v>
      </c>
      <c r="R95" s="6" t="s">
        <v>221</v>
      </c>
      <c r="S95" s="1" t="s">
        <v>221</v>
      </c>
      <c r="T95" s="1" t="s">
        <v>221</v>
      </c>
      <c r="U95" s="1" t="s">
        <v>221</v>
      </c>
    </row>
    <row r="96" spans="1:21" x14ac:dyDescent="0.25">
      <c r="A96" s="18" t="s">
        <v>485</v>
      </c>
      <c r="B96" s="67" t="s">
        <v>486</v>
      </c>
      <c r="C96" s="41" t="s">
        <v>221</v>
      </c>
      <c r="D96" s="169" t="s">
        <v>487</v>
      </c>
      <c r="E96" s="169" t="s">
        <v>282</v>
      </c>
      <c r="F96" s="169" t="s">
        <v>282</v>
      </c>
      <c r="G96" s="169" t="s">
        <v>283</v>
      </c>
      <c r="H96" s="169" t="s">
        <v>282</v>
      </c>
      <c r="I96" s="168" t="s">
        <v>284</v>
      </c>
      <c r="J96" s="194" t="s">
        <v>282</v>
      </c>
      <c r="K96" s="169" t="s">
        <v>283</v>
      </c>
      <c r="L96" s="194" t="s">
        <v>283</v>
      </c>
      <c r="M96" s="193" t="s">
        <v>282</v>
      </c>
      <c r="N96" s="186" t="s">
        <v>283</v>
      </c>
      <c r="O96" s="171" t="s">
        <v>282</v>
      </c>
      <c r="P96" s="79" t="s">
        <v>488</v>
      </c>
      <c r="Q96" s="5" t="s">
        <v>286</v>
      </c>
      <c r="R96" s="6" t="s">
        <v>221</v>
      </c>
      <c r="S96" s="1" t="s">
        <v>221</v>
      </c>
      <c r="T96" s="1" t="s">
        <v>221</v>
      </c>
      <c r="U96" s="33" t="s">
        <v>221</v>
      </c>
    </row>
    <row r="97" spans="1:21" x14ac:dyDescent="0.25">
      <c r="A97" s="18" t="s">
        <v>489</v>
      </c>
      <c r="B97" s="67" t="s">
        <v>490</v>
      </c>
      <c r="C97" s="41" t="s">
        <v>221</v>
      </c>
      <c r="D97" s="169" t="s">
        <v>491</v>
      </c>
      <c r="E97" s="169" t="s">
        <v>282</v>
      </c>
      <c r="F97" s="169" t="s">
        <v>282</v>
      </c>
      <c r="G97" s="169" t="s">
        <v>283</v>
      </c>
      <c r="H97" s="169" t="s">
        <v>282</v>
      </c>
      <c r="I97" s="168" t="s">
        <v>284</v>
      </c>
      <c r="J97" s="194" t="s">
        <v>282</v>
      </c>
      <c r="K97" s="169" t="s">
        <v>283</v>
      </c>
      <c r="L97" s="194" t="s">
        <v>283</v>
      </c>
      <c r="M97" s="193" t="s">
        <v>282</v>
      </c>
      <c r="N97" s="186" t="s">
        <v>283</v>
      </c>
      <c r="O97" s="171" t="s">
        <v>282</v>
      </c>
      <c r="P97" s="79" t="s">
        <v>492</v>
      </c>
      <c r="Q97" s="5" t="s">
        <v>286</v>
      </c>
      <c r="R97" s="6" t="s">
        <v>221</v>
      </c>
      <c r="S97" s="80" t="s">
        <v>221</v>
      </c>
      <c r="T97" s="1" t="s">
        <v>221</v>
      </c>
      <c r="U97" s="1" t="s">
        <v>221</v>
      </c>
    </row>
    <row r="98" spans="1:21" x14ac:dyDescent="0.25">
      <c r="A98" s="18" t="s">
        <v>221</v>
      </c>
      <c r="B98" s="67" t="s">
        <v>493</v>
      </c>
      <c r="C98" s="41" t="s">
        <v>221</v>
      </c>
      <c r="D98" s="169" t="s">
        <v>494</v>
      </c>
      <c r="E98" s="169" t="s">
        <v>282</v>
      </c>
      <c r="F98" s="169" t="s">
        <v>282</v>
      </c>
      <c r="G98" s="169" t="s">
        <v>283</v>
      </c>
      <c r="H98" s="169" t="s">
        <v>282</v>
      </c>
      <c r="I98" s="168" t="s">
        <v>284</v>
      </c>
      <c r="J98" s="194" t="s">
        <v>282</v>
      </c>
      <c r="K98" s="169" t="s">
        <v>283</v>
      </c>
      <c r="L98" s="194" t="s">
        <v>283</v>
      </c>
      <c r="M98" s="193" t="s">
        <v>282</v>
      </c>
      <c r="N98" s="186" t="s">
        <v>283</v>
      </c>
      <c r="O98" s="171" t="s">
        <v>282</v>
      </c>
      <c r="P98" s="79" t="s">
        <v>495</v>
      </c>
      <c r="Q98" s="5" t="s">
        <v>286</v>
      </c>
      <c r="R98" s="6" t="s">
        <v>221</v>
      </c>
      <c r="S98" s="80" t="s">
        <v>221</v>
      </c>
      <c r="T98" s="1" t="s">
        <v>221</v>
      </c>
      <c r="U98" s="1" t="s">
        <v>221</v>
      </c>
    </row>
    <row r="99" spans="1:21" x14ac:dyDescent="0.25">
      <c r="A99" s="18" t="s">
        <v>221</v>
      </c>
      <c r="B99" s="67" t="s">
        <v>496</v>
      </c>
      <c r="C99" s="41" t="s">
        <v>221</v>
      </c>
      <c r="D99" s="169" t="s">
        <v>497</v>
      </c>
      <c r="E99" s="169" t="s">
        <v>282</v>
      </c>
      <c r="F99" s="169" t="s">
        <v>282</v>
      </c>
      <c r="G99" s="169" t="s">
        <v>283</v>
      </c>
      <c r="H99" s="169" t="s">
        <v>282</v>
      </c>
      <c r="I99" s="168" t="s">
        <v>284</v>
      </c>
      <c r="J99" s="194" t="s">
        <v>282</v>
      </c>
      <c r="K99" s="169" t="s">
        <v>283</v>
      </c>
      <c r="L99" s="194" t="s">
        <v>283</v>
      </c>
      <c r="M99" s="193" t="s">
        <v>282</v>
      </c>
      <c r="N99" s="186" t="s">
        <v>283</v>
      </c>
      <c r="O99" s="171" t="s">
        <v>282</v>
      </c>
      <c r="P99" s="79" t="s">
        <v>498</v>
      </c>
      <c r="Q99" s="5" t="s">
        <v>286</v>
      </c>
      <c r="R99" s="6" t="s">
        <v>221</v>
      </c>
      <c r="S99" s="80" t="s">
        <v>221</v>
      </c>
      <c r="T99" s="1" t="s">
        <v>221</v>
      </c>
      <c r="U99" s="1" t="s">
        <v>221</v>
      </c>
    </row>
    <row r="100" spans="1:21" x14ac:dyDescent="0.25">
      <c r="A100" s="18" t="s">
        <v>221</v>
      </c>
      <c r="B100" s="67" t="s">
        <v>499</v>
      </c>
      <c r="C100" s="41" t="s">
        <v>221</v>
      </c>
      <c r="D100" s="169" t="s">
        <v>500</v>
      </c>
      <c r="E100" s="169" t="s">
        <v>282</v>
      </c>
      <c r="F100" s="169" t="s">
        <v>282</v>
      </c>
      <c r="G100" s="169" t="s">
        <v>283</v>
      </c>
      <c r="H100" s="169" t="s">
        <v>282</v>
      </c>
      <c r="I100" s="168" t="s">
        <v>284</v>
      </c>
      <c r="J100" s="195" t="s">
        <v>282</v>
      </c>
      <c r="K100" s="190" t="s">
        <v>283</v>
      </c>
      <c r="L100" s="194" t="s">
        <v>283</v>
      </c>
      <c r="M100" s="193" t="s">
        <v>282</v>
      </c>
      <c r="N100" s="186" t="s">
        <v>283</v>
      </c>
      <c r="O100" s="171" t="s">
        <v>282</v>
      </c>
      <c r="P100" s="79" t="s">
        <v>501</v>
      </c>
      <c r="Q100" s="5" t="s">
        <v>286</v>
      </c>
      <c r="R100" s="6" t="s">
        <v>221</v>
      </c>
      <c r="S100" s="80" t="s">
        <v>221</v>
      </c>
      <c r="T100" s="1" t="s">
        <v>221</v>
      </c>
      <c r="U100" s="1" t="s">
        <v>221</v>
      </c>
    </row>
    <row r="101" spans="1:21" x14ac:dyDescent="0.25">
      <c r="A101" s="18" t="s">
        <v>502</v>
      </c>
      <c r="B101" s="56" t="s">
        <v>503</v>
      </c>
      <c r="C101" s="41" t="s">
        <v>221</v>
      </c>
      <c r="D101" s="181" t="s">
        <v>282</v>
      </c>
      <c r="E101" s="181" t="s">
        <v>282</v>
      </c>
      <c r="F101" s="181" t="s">
        <v>282</v>
      </c>
      <c r="G101" s="181" t="s">
        <v>283</v>
      </c>
      <c r="H101" s="181" t="s">
        <v>282</v>
      </c>
      <c r="I101" s="182" t="s">
        <v>284</v>
      </c>
      <c r="J101" s="183" t="s">
        <v>282</v>
      </c>
      <c r="K101" s="181" t="s">
        <v>283</v>
      </c>
      <c r="L101" s="181" t="s">
        <v>283</v>
      </c>
      <c r="M101" s="181" t="s">
        <v>282</v>
      </c>
      <c r="N101" s="181" t="s">
        <v>283</v>
      </c>
      <c r="O101" s="181" t="s">
        <v>282</v>
      </c>
      <c r="P101" s="60" t="s">
        <v>315</v>
      </c>
      <c r="Q101" s="5" t="s">
        <v>286</v>
      </c>
      <c r="R101" s="6" t="s">
        <v>221</v>
      </c>
      <c r="S101" s="1" t="s">
        <v>221</v>
      </c>
      <c r="T101" s="1" t="s">
        <v>221</v>
      </c>
      <c r="U101" s="1" t="s">
        <v>221</v>
      </c>
    </row>
    <row r="102" spans="1:21" x14ac:dyDescent="0.25">
      <c r="A102" s="18" t="s">
        <v>504</v>
      </c>
      <c r="B102" s="26" t="s">
        <v>505</v>
      </c>
      <c r="C102" s="41" t="s">
        <v>221</v>
      </c>
      <c r="D102" s="184" t="s">
        <v>282</v>
      </c>
      <c r="E102" s="184" t="s">
        <v>282</v>
      </c>
      <c r="F102" s="184" t="s">
        <v>282</v>
      </c>
      <c r="G102" s="184" t="s">
        <v>283</v>
      </c>
      <c r="H102" s="184" t="s">
        <v>282</v>
      </c>
      <c r="I102" s="185" t="s">
        <v>284</v>
      </c>
      <c r="J102" s="196" t="s">
        <v>282</v>
      </c>
      <c r="K102" s="197" t="s">
        <v>283</v>
      </c>
      <c r="L102" s="196" t="s">
        <v>283</v>
      </c>
      <c r="M102" s="196" t="s">
        <v>282</v>
      </c>
      <c r="N102" s="198" t="s">
        <v>283</v>
      </c>
      <c r="O102" s="187" t="s">
        <v>282</v>
      </c>
      <c r="P102" s="65" t="s">
        <v>315</v>
      </c>
      <c r="Q102" s="5" t="s">
        <v>286</v>
      </c>
      <c r="R102" s="6" t="s">
        <v>221</v>
      </c>
      <c r="S102" s="1" t="s">
        <v>221</v>
      </c>
      <c r="T102" s="1" t="s">
        <v>221</v>
      </c>
      <c r="U102" s="1" t="s">
        <v>221</v>
      </c>
    </row>
    <row r="103" spans="1:21" x14ac:dyDescent="0.25">
      <c r="A103" s="18" t="s">
        <v>506</v>
      </c>
      <c r="B103" s="56" t="s">
        <v>507</v>
      </c>
      <c r="C103" s="41" t="s">
        <v>221</v>
      </c>
      <c r="D103" s="181" t="s">
        <v>508</v>
      </c>
      <c r="E103" s="181" t="s">
        <v>282</v>
      </c>
      <c r="F103" s="181" t="s">
        <v>282</v>
      </c>
      <c r="G103" s="181" t="s">
        <v>283</v>
      </c>
      <c r="H103" s="181" t="s">
        <v>282</v>
      </c>
      <c r="I103" s="182" t="s">
        <v>284</v>
      </c>
      <c r="J103" s="183" t="s">
        <v>282</v>
      </c>
      <c r="K103" s="181" t="s">
        <v>283</v>
      </c>
      <c r="L103" s="181" t="s">
        <v>283</v>
      </c>
      <c r="M103" s="181" t="s">
        <v>282</v>
      </c>
      <c r="N103" s="181" t="s">
        <v>283</v>
      </c>
      <c r="O103" s="181" t="s">
        <v>282</v>
      </c>
      <c r="P103" s="60" t="s">
        <v>509</v>
      </c>
      <c r="Q103" s="5" t="s">
        <v>286</v>
      </c>
      <c r="R103" s="6" t="s">
        <v>221</v>
      </c>
      <c r="S103" s="1" t="s">
        <v>221</v>
      </c>
      <c r="T103" s="1" t="s">
        <v>221</v>
      </c>
      <c r="U103" s="1" t="s">
        <v>221</v>
      </c>
    </row>
    <row r="104" spans="1:21" x14ac:dyDescent="0.25">
      <c r="A104" s="18" t="s">
        <v>221</v>
      </c>
      <c r="B104" s="26" t="s">
        <v>510</v>
      </c>
      <c r="C104" s="41" t="s">
        <v>221</v>
      </c>
      <c r="D104" s="184" t="s">
        <v>508</v>
      </c>
      <c r="E104" s="184" t="s">
        <v>282</v>
      </c>
      <c r="F104" s="184" t="s">
        <v>282</v>
      </c>
      <c r="G104" s="184" t="s">
        <v>283</v>
      </c>
      <c r="H104" s="184" t="s">
        <v>282</v>
      </c>
      <c r="I104" s="185" t="s">
        <v>284</v>
      </c>
      <c r="J104" s="193" t="s">
        <v>282</v>
      </c>
      <c r="K104" s="199" t="s">
        <v>283</v>
      </c>
      <c r="L104" s="193" t="s">
        <v>283</v>
      </c>
      <c r="M104" s="193" t="s">
        <v>282</v>
      </c>
      <c r="N104" s="193" t="s">
        <v>283</v>
      </c>
      <c r="O104" s="187" t="s">
        <v>282</v>
      </c>
      <c r="P104" s="65" t="s">
        <v>509</v>
      </c>
      <c r="Q104" s="5" t="s">
        <v>286</v>
      </c>
      <c r="R104" s="6" t="s">
        <v>221</v>
      </c>
      <c r="S104" s="1" t="s">
        <v>221</v>
      </c>
      <c r="T104" s="1" t="s">
        <v>221</v>
      </c>
      <c r="U104" s="1" t="s">
        <v>221</v>
      </c>
    </row>
    <row r="105" spans="1:21" x14ac:dyDescent="0.25">
      <c r="A105" s="18" t="s">
        <v>221</v>
      </c>
      <c r="B105" s="26" t="s">
        <v>511</v>
      </c>
      <c r="C105" s="41" t="s">
        <v>221</v>
      </c>
      <c r="D105" s="169" t="s">
        <v>282</v>
      </c>
      <c r="E105" s="169" t="s">
        <v>282</v>
      </c>
      <c r="F105" s="169" t="s">
        <v>282</v>
      </c>
      <c r="G105" s="169" t="s">
        <v>283</v>
      </c>
      <c r="H105" s="169" t="s">
        <v>282</v>
      </c>
      <c r="I105" s="168" t="s">
        <v>284</v>
      </c>
      <c r="J105" s="195" t="s">
        <v>282</v>
      </c>
      <c r="K105" s="200" t="s">
        <v>283</v>
      </c>
      <c r="L105" s="195" t="s">
        <v>283</v>
      </c>
      <c r="M105" s="193" t="s">
        <v>282</v>
      </c>
      <c r="N105" s="193" t="s">
        <v>283</v>
      </c>
      <c r="O105" s="171" t="s">
        <v>282</v>
      </c>
      <c r="P105" s="49" t="s">
        <v>315</v>
      </c>
      <c r="Q105" s="5" t="s">
        <v>286</v>
      </c>
      <c r="R105" s="6" t="s">
        <v>221</v>
      </c>
      <c r="S105" s="1" t="s">
        <v>221</v>
      </c>
      <c r="T105" s="1" t="s">
        <v>221</v>
      </c>
      <c r="U105" s="1" t="s">
        <v>221</v>
      </c>
    </row>
    <row r="106" spans="1:21" x14ac:dyDescent="0.25">
      <c r="A106" s="18" t="s">
        <v>512</v>
      </c>
      <c r="B106" s="56" t="s">
        <v>512</v>
      </c>
      <c r="C106" s="41" t="s">
        <v>221</v>
      </c>
      <c r="D106" s="181" t="s">
        <v>513</v>
      </c>
      <c r="E106" s="181" t="s">
        <v>282</v>
      </c>
      <c r="F106" s="181" t="s">
        <v>282</v>
      </c>
      <c r="G106" s="181" t="s">
        <v>283</v>
      </c>
      <c r="H106" s="181" t="s">
        <v>282</v>
      </c>
      <c r="I106" s="182" t="s">
        <v>284</v>
      </c>
      <c r="J106" s="183" t="s">
        <v>282</v>
      </c>
      <c r="K106" s="181" t="s">
        <v>283</v>
      </c>
      <c r="L106" s="181" t="s">
        <v>283</v>
      </c>
      <c r="M106" s="181" t="s">
        <v>282</v>
      </c>
      <c r="N106" s="181" t="s">
        <v>283</v>
      </c>
      <c r="O106" s="181" t="s">
        <v>282</v>
      </c>
      <c r="P106" s="60" t="s">
        <v>514</v>
      </c>
      <c r="Q106" s="5" t="s">
        <v>286</v>
      </c>
      <c r="R106" s="6" t="s">
        <v>221</v>
      </c>
      <c r="S106" s="1" t="s">
        <v>221</v>
      </c>
      <c r="T106" s="1" t="s">
        <v>221</v>
      </c>
      <c r="U106" s="1" t="s">
        <v>221</v>
      </c>
    </row>
    <row r="107" spans="1:21" x14ac:dyDescent="0.25">
      <c r="A107" s="18" t="s">
        <v>221</v>
      </c>
      <c r="B107" s="67" t="s">
        <v>515</v>
      </c>
      <c r="C107" s="41" t="s">
        <v>221</v>
      </c>
      <c r="D107" s="184" t="s">
        <v>516</v>
      </c>
      <c r="E107" s="184" t="s">
        <v>282</v>
      </c>
      <c r="F107" s="184" t="s">
        <v>282</v>
      </c>
      <c r="G107" s="184" t="s">
        <v>283</v>
      </c>
      <c r="H107" s="184" t="s">
        <v>282</v>
      </c>
      <c r="I107" s="185" t="s">
        <v>284</v>
      </c>
      <c r="J107" s="193" t="s">
        <v>282</v>
      </c>
      <c r="K107" s="184" t="s">
        <v>283</v>
      </c>
      <c r="L107" s="193" t="s">
        <v>283</v>
      </c>
      <c r="M107" s="193" t="s">
        <v>282</v>
      </c>
      <c r="N107" s="186" t="s">
        <v>283</v>
      </c>
      <c r="O107" s="187" t="s">
        <v>282</v>
      </c>
      <c r="P107" s="65" t="s">
        <v>517</v>
      </c>
      <c r="Q107" s="5" t="s">
        <v>286</v>
      </c>
      <c r="R107" s="6" t="s">
        <v>221</v>
      </c>
      <c r="S107" s="1" t="s">
        <v>221</v>
      </c>
      <c r="T107" s="1" t="s">
        <v>221</v>
      </c>
      <c r="U107" s="1" t="s">
        <v>221</v>
      </c>
    </row>
    <row r="108" spans="1:21" x14ac:dyDescent="0.25">
      <c r="A108" s="18" t="s">
        <v>221</v>
      </c>
      <c r="B108" s="67" t="s">
        <v>518</v>
      </c>
      <c r="C108" s="41" t="s">
        <v>221</v>
      </c>
      <c r="D108" s="169" t="s">
        <v>519</v>
      </c>
      <c r="E108" s="169" t="s">
        <v>282</v>
      </c>
      <c r="F108" s="169" t="s">
        <v>282</v>
      </c>
      <c r="G108" s="169" t="s">
        <v>283</v>
      </c>
      <c r="H108" s="169" t="s">
        <v>282</v>
      </c>
      <c r="I108" s="168" t="s">
        <v>284</v>
      </c>
      <c r="J108" s="194" t="s">
        <v>282</v>
      </c>
      <c r="K108" s="169" t="s">
        <v>283</v>
      </c>
      <c r="L108" s="194" t="s">
        <v>283</v>
      </c>
      <c r="M108" s="193" t="s">
        <v>282</v>
      </c>
      <c r="N108" s="193" t="s">
        <v>283</v>
      </c>
      <c r="O108" s="171" t="s">
        <v>282</v>
      </c>
      <c r="P108" s="49" t="s">
        <v>520</v>
      </c>
      <c r="Q108" s="5" t="s">
        <v>286</v>
      </c>
      <c r="R108" s="6" t="s">
        <v>221</v>
      </c>
      <c r="S108" s="1" t="s">
        <v>221</v>
      </c>
      <c r="T108" s="1" t="s">
        <v>221</v>
      </c>
      <c r="U108" s="1" t="s">
        <v>221</v>
      </c>
    </row>
    <row r="109" spans="1:21" x14ac:dyDescent="0.25">
      <c r="A109" s="18" t="s">
        <v>521</v>
      </c>
      <c r="B109" s="26" t="s">
        <v>522</v>
      </c>
      <c r="C109" s="41" t="s">
        <v>221</v>
      </c>
      <c r="D109" s="169" t="s">
        <v>282</v>
      </c>
      <c r="E109" s="169" t="s">
        <v>282</v>
      </c>
      <c r="F109" s="169" t="s">
        <v>282</v>
      </c>
      <c r="G109" s="169" t="s">
        <v>283</v>
      </c>
      <c r="H109" s="169" t="s">
        <v>282</v>
      </c>
      <c r="I109" s="168" t="s">
        <v>284</v>
      </c>
      <c r="J109" s="194" t="s">
        <v>282</v>
      </c>
      <c r="K109" s="169" t="s">
        <v>283</v>
      </c>
      <c r="L109" s="194" t="s">
        <v>283</v>
      </c>
      <c r="M109" s="193" t="s">
        <v>282</v>
      </c>
      <c r="N109" s="186" t="s">
        <v>283</v>
      </c>
      <c r="O109" s="171" t="s">
        <v>282</v>
      </c>
      <c r="P109" s="49" t="s">
        <v>315</v>
      </c>
      <c r="Q109" s="5" t="s">
        <v>286</v>
      </c>
      <c r="R109" s="6" t="s">
        <v>221</v>
      </c>
      <c r="S109" s="1" t="s">
        <v>221</v>
      </c>
      <c r="T109" s="1" t="s">
        <v>221</v>
      </c>
      <c r="U109" s="1" t="s">
        <v>221</v>
      </c>
    </row>
    <row r="110" spans="1:21" x14ac:dyDescent="0.25">
      <c r="A110" s="18" t="s">
        <v>221</v>
      </c>
      <c r="B110" s="26" t="s">
        <v>523</v>
      </c>
      <c r="C110" s="41" t="s">
        <v>221</v>
      </c>
      <c r="D110" s="169" t="s">
        <v>524</v>
      </c>
      <c r="E110" s="169" t="s">
        <v>282</v>
      </c>
      <c r="F110" s="169" t="s">
        <v>282</v>
      </c>
      <c r="G110" s="169" t="s">
        <v>283</v>
      </c>
      <c r="H110" s="169" t="s">
        <v>282</v>
      </c>
      <c r="I110" s="168" t="s">
        <v>284</v>
      </c>
      <c r="J110" s="195" t="s">
        <v>282</v>
      </c>
      <c r="K110" s="190" t="s">
        <v>283</v>
      </c>
      <c r="L110" s="194" t="s">
        <v>283</v>
      </c>
      <c r="M110" s="193" t="s">
        <v>282</v>
      </c>
      <c r="N110" s="193" t="s">
        <v>283</v>
      </c>
      <c r="O110" s="171" t="s">
        <v>282</v>
      </c>
      <c r="P110" s="49" t="s">
        <v>525</v>
      </c>
      <c r="Q110" s="5" t="s">
        <v>286</v>
      </c>
      <c r="R110" s="6" t="s">
        <v>221</v>
      </c>
      <c r="S110" s="1" t="s">
        <v>221</v>
      </c>
      <c r="T110" s="1" t="s">
        <v>221</v>
      </c>
      <c r="U110" s="1" t="s">
        <v>221</v>
      </c>
    </row>
    <row r="111" spans="1:21" x14ac:dyDescent="0.25">
      <c r="A111" s="18" t="s">
        <v>526</v>
      </c>
      <c r="B111" s="56" t="s">
        <v>526</v>
      </c>
      <c r="C111" s="41" t="s">
        <v>221</v>
      </c>
      <c r="D111" s="181" t="s">
        <v>527</v>
      </c>
      <c r="E111" s="181" t="s">
        <v>282</v>
      </c>
      <c r="F111" s="181" t="s">
        <v>282</v>
      </c>
      <c r="G111" s="181" t="s">
        <v>283</v>
      </c>
      <c r="H111" s="181" t="s">
        <v>282</v>
      </c>
      <c r="I111" s="182" t="s">
        <v>284</v>
      </c>
      <c r="J111" s="182" t="s">
        <v>282</v>
      </c>
      <c r="K111" s="181" t="s">
        <v>283</v>
      </c>
      <c r="L111" s="181" t="s">
        <v>283</v>
      </c>
      <c r="M111" s="181" t="s">
        <v>282</v>
      </c>
      <c r="N111" s="181" t="s">
        <v>283</v>
      </c>
      <c r="O111" s="181" t="s">
        <v>282</v>
      </c>
      <c r="P111" s="60" t="s">
        <v>528</v>
      </c>
      <c r="Q111" s="5" t="s">
        <v>286</v>
      </c>
      <c r="R111" s="6" t="s">
        <v>221</v>
      </c>
      <c r="S111" s="1" t="s">
        <v>221</v>
      </c>
      <c r="T111" s="1" t="s">
        <v>221</v>
      </c>
      <c r="U111" s="1" t="s">
        <v>221</v>
      </c>
    </row>
    <row r="112" spans="1:21" x14ac:dyDescent="0.25">
      <c r="A112" s="18" t="s">
        <v>529</v>
      </c>
      <c r="B112" s="67" t="s">
        <v>530</v>
      </c>
      <c r="C112" s="41" t="s">
        <v>221</v>
      </c>
      <c r="D112" s="184" t="s">
        <v>527</v>
      </c>
      <c r="E112" s="184" t="s">
        <v>282</v>
      </c>
      <c r="F112" s="184" t="s">
        <v>282</v>
      </c>
      <c r="G112" s="184" t="s">
        <v>283</v>
      </c>
      <c r="H112" s="184" t="s">
        <v>282</v>
      </c>
      <c r="I112" s="185" t="s">
        <v>284</v>
      </c>
      <c r="J112" s="196" t="s">
        <v>282</v>
      </c>
      <c r="K112" s="197" t="s">
        <v>283</v>
      </c>
      <c r="L112" s="196" t="s">
        <v>283</v>
      </c>
      <c r="M112" s="196" t="s">
        <v>282</v>
      </c>
      <c r="N112" s="198" t="s">
        <v>283</v>
      </c>
      <c r="O112" s="187" t="s">
        <v>282</v>
      </c>
      <c r="P112" s="65" t="s">
        <v>528</v>
      </c>
      <c r="Q112" s="5" t="s">
        <v>286</v>
      </c>
      <c r="R112" s="6" t="s">
        <v>221</v>
      </c>
      <c r="S112" s="1" t="s">
        <v>221</v>
      </c>
      <c r="T112" s="1" t="s">
        <v>221</v>
      </c>
      <c r="U112" s="1" t="s">
        <v>221</v>
      </c>
    </row>
    <row r="113" spans="1:21" x14ac:dyDescent="0.25">
      <c r="A113" s="18" t="s">
        <v>531</v>
      </c>
      <c r="B113" s="56" t="s">
        <v>532</v>
      </c>
      <c r="C113" s="41" t="s">
        <v>221</v>
      </c>
      <c r="D113" s="181" t="s">
        <v>282</v>
      </c>
      <c r="E113" s="181" t="s">
        <v>282</v>
      </c>
      <c r="F113" s="181" t="s">
        <v>282</v>
      </c>
      <c r="G113" s="181" t="s">
        <v>283</v>
      </c>
      <c r="H113" s="181" t="s">
        <v>221</v>
      </c>
      <c r="I113" s="182" t="s">
        <v>284</v>
      </c>
      <c r="J113" s="182" t="s">
        <v>282</v>
      </c>
      <c r="K113" s="201" t="s">
        <v>283</v>
      </c>
      <c r="L113" s="201" t="s">
        <v>283</v>
      </c>
      <c r="M113" s="182" t="s">
        <v>282</v>
      </c>
      <c r="N113" s="181" t="s">
        <v>283</v>
      </c>
      <c r="O113" s="181" t="s">
        <v>282</v>
      </c>
      <c r="P113" s="60" t="s">
        <v>315</v>
      </c>
      <c r="Q113" s="5" t="s">
        <v>286</v>
      </c>
      <c r="R113" s="6" t="s">
        <v>221</v>
      </c>
      <c r="S113" s="1" t="s">
        <v>221</v>
      </c>
      <c r="T113" s="1" t="s">
        <v>221</v>
      </c>
      <c r="U113" s="1" t="s">
        <v>221</v>
      </c>
    </row>
    <row r="114" spans="1:21" x14ac:dyDescent="0.25">
      <c r="A114" s="18" t="s">
        <v>533</v>
      </c>
      <c r="B114" s="67" t="s">
        <v>534</v>
      </c>
      <c r="C114" s="41" t="s">
        <v>221</v>
      </c>
      <c r="D114" s="184" t="s">
        <v>282</v>
      </c>
      <c r="E114" s="184" t="s">
        <v>282</v>
      </c>
      <c r="F114" s="184" t="s">
        <v>282</v>
      </c>
      <c r="G114" s="184" t="s">
        <v>283</v>
      </c>
      <c r="H114" s="184" t="s">
        <v>282</v>
      </c>
      <c r="I114" s="185" t="s">
        <v>284</v>
      </c>
      <c r="J114" s="196" t="s">
        <v>282</v>
      </c>
      <c r="K114" s="197" t="s">
        <v>283</v>
      </c>
      <c r="L114" s="196" t="s">
        <v>283</v>
      </c>
      <c r="M114" s="196" t="s">
        <v>282</v>
      </c>
      <c r="N114" s="202" t="s">
        <v>283</v>
      </c>
      <c r="O114" s="187" t="s">
        <v>282</v>
      </c>
      <c r="P114" s="65" t="s">
        <v>315</v>
      </c>
      <c r="Q114" s="5" t="s">
        <v>286</v>
      </c>
      <c r="R114" s="6" t="s">
        <v>221</v>
      </c>
      <c r="S114" s="1" t="s">
        <v>221</v>
      </c>
      <c r="T114" s="1" t="s">
        <v>221</v>
      </c>
      <c r="U114" s="1" t="s">
        <v>221</v>
      </c>
    </row>
    <row r="115" spans="1:21" x14ac:dyDescent="0.25">
      <c r="A115" s="18" t="s">
        <v>221</v>
      </c>
      <c r="B115" s="87" t="s">
        <v>535</v>
      </c>
      <c r="C115" s="41" t="s">
        <v>221</v>
      </c>
      <c r="D115" s="203" t="s">
        <v>282</v>
      </c>
      <c r="E115" s="203" t="s">
        <v>282</v>
      </c>
      <c r="F115" s="203" t="s">
        <v>282</v>
      </c>
      <c r="G115" s="203" t="s">
        <v>283</v>
      </c>
      <c r="H115" s="203" t="s">
        <v>282</v>
      </c>
      <c r="I115" s="203" t="s">
        <v>284</v>
      </c>
      <c r="J115" s="203" t="s">
        <v>282</v>
      </c>
      <c r="K115" s="169" t="s">
        <v>283</v>
      </c>
      <c r="L115" s="194" t="s">
        <v>283</v>
      </c>
      <c r="M115" s="194" t="s">
        <v>282</v>
      </c>
      <c r="N115" s="179" t="s">
        <v>283</v>
      </c>
      <c r="O115" s="171" t="s">
        <v>282</v>
      </c>
      <c r="P115" s="49" t="s">
        <v>315</v>
      </c>
      <c r="Q115" s="5" t="s">
        <v>286</v>
      </c>
      <c r="R115" s="6" t="s">
        <v>221</v>
      </c>
      <c r="S115" s="1" t="s">
        <v>221</v>
      </c>
      <c r="T115" s="1" t="s">
        <v>221</v>
      </c>
      <c r="U115" s="1" t="s">
        <v>221</v>
      </c>
    </row>
    <row r="116" spans="1:21" x14ac:dyDescent="0.25">
      <c r="A116" s="18" t="s">
        <v>221</v>
      </c>
      <c r="B116" s="87" t="s">
        <v>536</v>
      </c>
      <c r="C116" s="41" t="s">
        <v>221</v>
      </c>
      <c r="D116" s="199" t="s">
        <v>282</v>
      </c>
      <c r="E116" s="199" t="s">
        <v>282</v>
      </c>
      <c r="F116" s="199" t="s">
        <v>282</v>
      </c>
      <c r="G116" s="199" t="s">
        <v>283</v>
      </c>
      <c r="H116" s="199" t="s">
        <v>282</v>
      </c>
      <c r="I116" s="193" t="s">
        <v>284</v>
      </c>
      <c r="J116" s="196" t="s">
        <v>282</v>
      </c>
      <c r="K116" s="197" t="s">
        <v>283</v>
      </c>
      <c r="L116" s="196" t="s">
        <v>283</v>
      </c>
      <c r="M116" s="196" t="s">
        <v>282</v>
      </c>
      <c r="N116" s="191" t="s">
        <v>283</v>
      </c>
      <c r="O116" s="171" t="s">
        <v>282</v>
      </c>
      <c r="P116" s="30" t="s">
        <v>315</v>
      </c>
      <c r="Q116" s="5" t="s">
        <v>286</v>
      </c>
      <c r="R116" s="6" t="s">
        <v>221</v>
      </c>
      <c r="S116" s="1" t="s">
        <v>221</v>
      </c>
      <c r="T116" s="1" t="s">
        <v>221</v>
      </c>
      <c r="U116" s="1" t="s">
        <v>221</v>
      </c>
    </row>
    <row r="117" spans="1:21" x14ac:dyDescent="0.25">
      <c r="A117" s="18" t="s">
        <v>537</v>
      </c>
      <c r="B117" s="56" t="s">
        <v>538</v>
      </c>
      <c r="C117" s="41" t="s">
        <v>221</v>
      </c>
      <c r="D117" s="181" t="s">
        <v>539</v>
      </c>
      <c r="E117" s="181" t="s">
        <v>282</v>
      </c>
      <c r="F117" s="181" t="s">
        <v>282</v>
      </c>
      <c r="G117" s="181" t="s">
        <v>283</v>
      </c>
      <c r="H117" s="181" t="s">
        <v>282</v>
      </c>
      <c r="I117" s="182" t="s">
        <v>284</v>
      </c>
      <c r="J117" s="182" t="s">
        <v>282</v>
      </c>
      <c r="K117" s="181" t="s">
        <v>283</v>
      </c>
      <c r="L117" s="204" t="s">
        <v>283</v>
      </c>
      <c r="M117" s="181" t="s">
        <v>282</v>
      </c>
      <c r="N117" s="181" t="s">
        <v>283</v>
      </c>
      <c r="O117" s="181" t="s">
        <v>282</v>
      </c>
      <c r="P117" s="60" t="s">
        <v>540</v>
      </c>
      <c r="Q117" s="5" t="s">
        <v>286</v>
      </c>
      <c r="R117" s="6" t="s">
        <v>221</v>
      </c>
      <c r="S117" s="1" t="s">
        <v>221</v>
      </c>
      <c r="T117" s="1" t="s">
        <v>221</v>
      </c>
      <c r="U117" s="1" t="s">
        <v>221</v>
      </c>
    </row>
    <row r="118" spans="1:21" x14ac:dyDescent="0.25">
      <c r="A118" s="18" t="s">
        <v>541</v>
      </c>
      <c r="B118" s="67" t="s">
        <v>542</v>
      </c>
      <c r="C118" s="41" t="s">
        <v>221</v>
      </c>
      <c r="D118" s="199" t="s">
        <v>282</v>
      </c>
      <c r="E118" s="199" t="s">
        <v>282</v>
      </c>
      <c r="F118" s="205" t="s">
        <v>282</v>
      </c>
      <c r="G118" s="199" t="s">
        <v>283</v>
      </c>
      <c r="H118" s="199" t="s">
        <v>282</v>
      </c>
      <c r="I118" s="193" t="s">
        <v>284</v>
      </c>
      <c r="J118" s="193" t="s">
        <v>282</v>
      </c>
      <c r="K118" s="184" t="s">
        <v>283</v>
      </c>
      <c r="L118" s="206" t="s">
        <v>283</v>
      </c>
      <c r="M118" s="193" t="s">
        <v>282</v>
      </c>
      <c r="N118" s="191" t="s">
        <v>283</v>
      </c>
      <c r="O118" s="187" t="s">
        <v>282</v>
      </c>
      <c r="P118" s="65" t="s">
        <v>315</v>
      </c>
      <c r="Q118" s="5" t="s">
        <v>286</v>
      </c>
      <c r="R118" s="6" t="s">
        <v>221</v>
      </c>
      <c r="S118" s="1" t="s">
        <v>221</v>
      </c>
      <c r="T118" s="1" t="s">
        <v>221</v>
      </c>
      <c r="U118" s="1" t="s">
        <v>221</v>
      </c>
    </row>
    <row r="119" spans="1:21" x14ac:dyDescent="0.25">
      <c r="A119" s="18" t="s">
        <v>543</v>
      </c>
      <c r="B119" s="67" t="s">
        <v>544</v>
      </c>
      <c r="C119" s="41" t="s">
        <v>221</v>
      </c>
      <c r="D119" s="203"/>
      <c r="E119" s="203" t="s">
        <v>282</v>
      </c>
      <c r="F119" s="207" t="s">
        <v>282</v>
      </c>
      <c r="G119" s="203" t="s">
        <v>283</v>
      </c>
      <c r="H119" s="203" t="s">
        <v>282</v>
      </c>
      <c r="I119" s="194" t="s">
        <v>284</v>
      </c>
      <c r="J119" s="194" t="s">
        <v>282</v>
      </c>
      <c r="K119" s="169" t="s">
        <v>283</v>
      </c>
      <c r="L119" s="208" t="s">
        <v>283</v>
      </c>
      <c r="M119" s="193" t="s">
        <v>282</v>
      </c>
      <c r="N119" s="179" t="s">
        <v>283</v>
      </c>
      <c r="O119" s="171" t="s">
        <v>282</v>
      </c>
      <c r="P119" s="49" t="s">
        <v>545</v>
      </c>
      <c r="Q119" s="5" t="s">
        <v>286</v>
      </c>
      <c r="R119" s="6" t="s">
        <v>221</v>
      </c>
      <c r="S119" s="1" t="s">
        <v>221</v>
      </c>
      <c r="T119" s="1" t="s">
        <v>221</v>
      </c>
      <c r="U119" s="1" t="s">
        <v>221</v>
      </c>
    </row>
    <row r="120" spans="1:21" x14ac:dyDescent="0.25">
      <c r="A120" s="18" t="s">
        <v>221</v>
      </c>
      <c r="B120" s="67" t="s">
        <v>546</v>
      </c>
      <c r="C120" s="41" t="s">
        <v>221</v>
      </c>
      <c r="D120" s="203" t="s">
        <v>547</v>
      </c>
      <c r="E120" s="203" t="s">
        <v>282</v>
      </c>
      <c r="F120" s="207" t="s">
        <v>282</v>
      </c>
      <c r="G120" s="203" t="s">
        <v>283</v>
      </c>
      <c r="H120" s="203" t="s">
        <v>282</v>
      </c>
      <c r="I120" s="194" t="s">
        <v>284</v>
      </c>
      <c r="J120" s="194" t="s">
        <v>282</v>
      </c>
      <c r="K120" s="169" t="s">
        <v>283</v>
      </c>
      <c r="L120" s="208" t="s">
        <v>283</v>
      </c>
      <c r="M120" s="193" t="s">
        <v>282</v>
      </c>
      <c r="N120" s="179" t="s">
        <v>283</v>
      </c>
      <c r="O120" s="171" t="s">
        <v>282</v>
      </c>
      <c r="P120" s="49" t="s">
        <v>548</v>
      </c>
      <c r="Q120" s="5" t="s">
        <v>286</v>
      </c>
      <c r="R120" s="6" t="s">
        <v>221</v>
      </c>
      <c r="S120" s="1" t="s">
        <v>221</v>
      </c>
      <c r="T120" s="1" t="s">
        <v>221</v>
      </c>
      <c r="U120" s="1" t="s">
        <v>221</v>
      </c>
    </row>
    <row r="121" spans="1:21" x14ac:dyDescent="0.25">
      <c r="A121" s="18" t="s">
        <v>221</v>
      </c>
      <c r="B121" s="67" t="s">
        <v>549</v>
      </c>
      <c r="C121" s="41" t="s">
        <v>221</v>
      </c>
      <c r="D121" s="203" t="s">
        <v>282</v>
      </c>
      <c r="E121" s="203" t="s">
        <v>282</v>
      </c>
      <c r="F121" s="207" t="s">
        <v>282</v>
      </c>
      <c r="G121" s="203" t="s">
        <v>283</v>
      </c>
      <c r="H121" s="203" t="s">
        <v>282</v>
      </c>
      <c r="I121" s="194" t="s">
        <v>284</v>
      </c>
      <c r="J121" s="194" t="s">
        <v>282</v>
      </c>
      <c r="K121" s="169" t="s">
        <v>283</v>
      </c>
      <c r="L121" s="208" t="s">
        <v>283</v>
      </c>
      <c r="M121" s="193" t="s">
        <v>282</v>
      </c>
      <c r="N121" s="203" t="s">
        <v>283</v>
      </c>
      <c r="O121" s="171" t="s">
        <v>282</v>
      </c>
      <c r="P121" s="49" t="s">
        <v>315</v>
      </c>
      <c r="Q121" s="5" t="s">
        <v>286</v>
      </c>
      <c r="R121" s="6" t="s">
        <v>221</v>
      </c>
      <c r="S121" s="1" t="s">
        <v>221</v>
      </c>
      <c r="T121" s="1" t="s">
        <v>221</v>
      </c>
      <c r="U121" s="1" t="s">
        <v>221</v>
      </c>
    </row>
    <row r="122" spans="1:21" x14ac:dyDescent="0.25">
      <c r="A122" s="18" t="s">
        <v>221</v>
      </c>
      <c r="B122" s="67" t="s">
        <v>550</v>
      </c>
      <c r="C122" s="41" t="s">
        <v>221</v>
      </c>
      <c r="D122" s="203" t="s">
        <v>551</v>
      </c>
      <c r="E122" s="203" t="s">
        <v>282</v>
      </c>
      <c r="F122" s="207" t="s">
        <v>282</v>
      </c>
      <c r="G122" s="203" t="s">
        <v>283</v>
      </c>
      <c r="H122" s="203" t="s">
        <v>282</v>
      </c>
      <c r="I122" s="194" t="s">
        <v>284</v>
      </c>
      <c r="J122" s="194" t="s">
        <v>282</v>
      </c>
      <c r="K122" s="169" t="s">
        <v>283</v>
      </c>
      <c r="L122" s="208" t="s">
        <v>283</v>
      </c>
      <c r="M122" s="193" t="s">
        <v>282</v>
      </c>
      <c r="N122" s="179" t="s">
        <v>283</v>
      </c>
      <c r="O122" s="171" t="s">
        <v>282</v>
      </c>
      <c r="P122" s="49" t="s">
        <v>552</v>
      </c>
      <c r="Q122" s="5" t="s">
        <v>286</v>
      </c>
      <c r="R122" s="6" t="s">
        <v>221</v>
      </c>
      <c r="S122" s="1" t="s">
        <v>221</v>
      </c>
      <c r="T122" s="1" t="s">
        <v>221</v>
      </c>
      <c r="U122" s="1" t="s">
        <v>221</v>
      </c>
    </row>
    <row r="123" spans="1:21" x14ac:dyDescent="0.25">
      <c r="A123" s="18" t="s">
        <v>319</v>
      </c>
      <c r="B123" s="67" t="s">
        <v>553</v>
      </c>
      <c r="C123" s="41" t="s">
        <v>221</v>
      </c>
      <c r="D123" s="203" t="s">
        <v>554</v>
      </c>
      <c r="E123" s="203" t="s">
        <v>282</v>
      </c>
      <c r="F123" s="207" t="s">
        <v>282</v>
      </c>
      <c r="G123" s="203" t="s">
        <v>283</v>
      </c>
      <c r="H123" s="203" t="s">
        <v>282</v>
      </c>
      <c r="I123" s="194" t="s">
        <v>284</v>
      </c>
      <c r="J123" s="194" t="s">
        <v>282</v>
      </c>
      <c r="K123" s="169" t="s">
        <v>283</v>
      </c>
      <c r="L123" s="208" t="s">
        <v>283</v>
      </c>
      <c r="M123" s="193" t="s">
        <v>282</v>
      </c>
      <c r="N123" s="179" t="s">
        <v>283</v>
      </c>
      <c r="O123" s="171" t="s">
        <v>282</v>
      </c>
      <c r="P123" s="49" t="s">
        <v>555</v>
      </c>
      <c r="Q123" s="5" t="s">
        <v>286</v>
      </c>
      <c r="R123" s="6" t="s">
        <v>221</v>
      </c>
      <c r="S123" s="1" t="s">
        <v>221</v>
      </c>
      <c r="T123" s="1" t="s">
        <v>221</v>
      </c>
      <c r="U123" s="1" t="s">
        <v>221</v>
      </c>
    </row>
    <row r="124" spans="1:21" x14ac:dyDescent="0.25">
      <c r="A124" s="18" t="s">
        <v>221</v>
      </c>
      <c r="B124" s="67" t="s">
        <v>556</v>
      </c>
      <c r="C124" s="41" t="s">
        <v>221</v>
      </c>
      <c r="D124" s="203" t="s">
        <v>557</v>
      </c>
      <c r="E124" s="203" t="s">
        <v>282</v>
      </c>
      <c r="F124" s="207" t="s">
        <v>282</v>
      </c>
      <c r="G124" s="203" t="s">
        <v>283</v>
      </c>
      <c r="H124" s="203" t="s">
        <v>282</v>
      </c>
      <c r="I124" s="194" t="s">
        <v>284</v>
      </c>
      <c r="J124" s="194" t="s">
        <v>282</v>
      </c>
      <c r="K124" s="169" t="s">
        <v>283</v>
      </c>
      <c r="L124" s="208" t="s">
        <v>283</v>
      </c>
      <c r="M124" s="193" t="s">
        <v>282</v>
      </c>
      <c r="N124" s="203" t="s">
        <v>283</v>
      </c>
      <c r="O124" s="171" t="s">
        <v>282</v>
      </c>
      <c r="P124" s="49" t="s">
        <v>558</v>
      </c>
      <c r="Q124" s="5" t="s">
        <v>286</v>
      </c>
      <c r="R124" s="6" t="s">
        <v>221</v>
      </c>
      <c r="S124" s="1" t="s">
        <v>221</v>
      </c>
      <c r="T124" s="1" t="s">
        <v>221</v>
      </c>
      <c r="U124" s="1" t="s">
        <v>221</v>
      </c>
    </row>
    <row r="125" spans="1:21" x14ac:dyDescent="0.25">
      <c r="A125" s="18" t="s">
        <v>221</v>
      </c>
      <c r="B125" s="67" t="s">
        <v>559</v>
      </c>
      <c r="C125" s="41" t="s">
        <v>221</v>
      </c>
      <c r="D125" s="203" t="s">
        <v>282</v>
      </c>
      <c r="E125" s="203" t="s">
        <v>282</v>
      </c>
      <c r="F125" s="207" t="s">
        <v>282</v>
      </c>
      <c r="G125" s="203" t="s">
        <v>283</v>
      </c>
      <c r="H125" s="203" t="s">
        <v>282</v>
      </c>
      <c r="I125" s="194" t="s">
        <v>284</v>
      </c>
      <c r="J125" s="194" t="s">
        <v>282</v>
      </c>
      <c r="K125" s="169" t="s">
        <v>283</v>
      </c>
      <c r="L125" s="208" t="s">
        <v>283</v>
      </c>
      <c r="M125" s="193" t="s">
        <v>282</v>
      </c>
      <c r="N125" s="203" t="s">
        <v>283</v>
      </c>
      <c r="O125" s="171" t="s">
        <v>282</v>
      </c>
      <c r="P125" s="49" t="s">
        <v>315</v>
      </c>
      <c r="Q125" s="5" t="s">
        <v>286</v>
      </c>
      <c r="R125" s="6" t="s">
        <v>221</v>
      </c>
      <c r="S125" s="1" t="s">
        <v>221</v>
      </c>
      <c r="T125" s="1" t="s">
        <v>221</v>
      </c>
      <c r="U125" s="1" t="s">
        <v>221</v>
      </c>
    </row>
    <row r="126" spans="1:21" x14ac:dyDescent="0.25">
      <c r="A126" s="18" t="s">
        <v>221</v>
      </c>
      <c r="B126" s="67" t="s">
        <v>560</v>
      </c>
      <c r="C126" s="41" t="s">
        <v>221</v>
      </c>
      <c r="D126" s="203" t="s">
        <v>561</v>
      </c>
      <c r="E126" s="203" t="s">
        <v>282</v>
      </c>
      <c r="F126" s="207" t="s">
        <v>282</v>
      </c>
      <c r="G126" s="203" t="s">
        <v>283</v>
      </c>
      <c r="H126" s="203" t="s">
        <v>282</v>
      </c>
      <c r="I126" s="194" t="s">
        <v>284</v>
      </c>
      <c r="J126" s="194" t="s">
        <v>282</v>
      </c>
      <c r="K126" s="169" t="s">
        <v>283</v>
      </c>
      <c r="L126" s="208" t="s">
        <v>283</v>
      </c>
      <c r="M126" s="193" t="s">
        <v>282</v>
      </c>
      <c r="N126" s="179" t="s">
        <v>283</v>
      </c>
      <c r="O126" s="171" t="s">
        <v>282</v>
      </c>
      <c r="P126" s="49" t="s">
        <v>562</v>
      </c>
      <c r="Q126" s="5" t="s">
        <v>286</v>
      </c>
      <c r="R126" s="6" t="s">
        <v>221</v>
      </c>
      <c r="S126" s="1" t="s">
        <v>221</v>
      </c>
      <c r="T126" s="1" t="s">
        <v>221</v>
      </c>
      <c r="U126" s="1" t="s">
        <v>221</v>
      </c>
    </row>
    <row r="127" spans="1:21" x14ac:dyDescent="0.25">
      <c r="A127" s="18" t="s">
        <v>221</v>
      </c>
      <c r="B127" s="67" t="s">
        <v>563</v>
      </c>
      <c r="C127" s="41" t="s">
        <v>221</v>
      </c>
      <c r="D127" s="203" t="s">
        <v>282</v>
      </c>
      <c r="E127" s="203" t="s">
        <v>282</v>
      </c>
      <c r="F127" s="207" t="s">
        <v>282</v>
      </c>
      <c r="G127" s="203" t="s">
        <v>283</v>
      </c>
      <c r="H127" s="203" t="s">
        <v>282</v>
      </c>
      <c r="I127" s="194" t="s">
        <v>284</v>
      </c>
      <c r="J127" s="194" t="s">
        <v>282</v>
      </c>
      <c r="K127" s="169" t="s">
        <v>283</v>
      </c>
      <c r="L127" s="208" t="s">
        <v>283</v>
      </c>
      <c r="M127" s="193" t="s">
        <v>282</v>
      </c>
      <c r="N127" s="203" t="s">
        <v>283</v>
      </c>
      <c r="O127" s="171" t="s">
        <v>282</v>
      </c>
      <c r="P127" s="49" t="s">
        <v>315</v>
      </c>
      <c r="Q127" s="5" t="s">
        <v>286</v>
      </c>
      <c r="R127" s="6" t="s">
        <v>221</v>
      </c>
      <c r="S127" s="1" t="s">
        <v>221</v>
      </c>
      <c r="T127" s="1" t="s">
        <v>221</v>
      </c>
      <c r="U127" s="1" t="s">
        <v>221</v>
      </c>
    </row>
    <row r="128" spans="1:21" x14ac:dyDescent="0.25">
      <c r="A128" s="18" t="s">
        <v>221</v>
      </c>
      <c r="B128" s="67" t="s">
        <v>564</v>
      </c>
      <c r="C128" s="41" t="s">
        <v>221</v>
      </c>
      <c r="D128" s="203" t="s">
        <v>282</v>
      </c>
      <c r="E128" s="203" t="s">
        <v>282</v>
      </c>
      <c r="F128" s="207" t="s">
        <v>282</v>
      </c>
      <c r="G128" s="203" t="s">
        <v>283</v>
      </c>
      <c r="H128" s="203" t="s">
        <v>282</v>
      </c>
      <c r="I128" s="194" t="s">
        <v>284</v>
      </c>
      <c r="J128" s="194" t="s">
        <v>282</v>
      </c>
      <c r="K128" s="169" t="s">
        <v>283</v>
      </c>
      <c r="L128" s="208" t="s">
        <v>283</v>
      </c>
      <c r="M128" s="193" t="s">
        <v>282</v>
      </c>
      <c r="N128" s="203" t="s">
        <v>283</v>
      </c>
      <c r="O128" s="171" t="s">
        <v>282</v>
      </c>
      <c r="P128" s="49" t="s">
        <v>315</v>
      </c>
      <c r="Q128" s="5" t="s">
        <v>286</v>
      </c>
      <c r="R128" s="6" t="s">
        <v>221</v>
      </c>
      <c r="S128" s="1" t="s">
        <v>221</v>
      </c>
      <c r="T128" s="1" t="s">
        <v>221</v>
      </c>
      <c r="U128" s="1" t="s">
        <v>221</v>
      </c>
    </row>
    <row r="129" spans="1:21" x14ac:dyDescent="0.25">
      <c r="A129" s="18" t="s">
        <v>221</v>
      </c>
      <c r="B129" s="67" t="s">
        <v>565</v>
      </c>
      <c r="C129" s="41" t="s">
        <v>221</v>
      </c>
      <c r="D129" s="203" t="s">
        <v>566</v>
      </c>
      <c r="E129" s="203" t="s">
        <v>282</v>
      </c>
      <c r="F129" s="207" t="s">
        <v>282</v>
      </c>
      <c r="G129" s="203" t="s">
        <v>283</v>
      </c>
      <c r="H129" s="203" t="s">
        <v>282</v>
      </c>
      <c r="I129" s="194" t="s">
        <v>284</v>
      </c>
      <c r="J129" s="194" t="s">
        <v>282</v>
      </c>
      <c r="K129" s="169" t="s">
        <v>283</v>
      </c>
      <c r="L129" s="208" t="s">
        <v>283</v>
      </c>
      <c r="M129" s="193" t="s">
        <v>282</v>
      </c>
      <c r="N129" s="179" t="s">
        <v>283</v>
      </c>
      <c r="O129" s="171" t="s">
        <v>282</v>
      </c>
      <c r="P129" s="49" t="s">
        <v>567</v>
      </c>
      <c r="Q129" s="5" t="s">
        <v>286</v>
      </c>
      <c r="R129" s="6" t="s">
        <v>221</v>
      </c>
      <c r="S129" s="1" t="s">
        <v>221</v>
      </c>
      <c r="T129" s="1" t="s">
        <v>221</v>
      </c>
      <c r="U129" s="1" t="s">
        <v>221</v>
      </c>
    </row>
    <row r="130" spans="1:21" x14ac:dyDescent="0.25">
      <c r="A130" s="18" t="s">
        <v>319</v>
      </c>
      <c r="B130" s="67" t="s">
        <v>568</v>
      </c>
      <c r="C130" s="41" t="s">
        <v>221</v>
      </c>
      <c r="D130" s="203" t="s">
        <v>569</v>
      </c>
      <c r="E130" s="203" t="s">
        <v>282</v>
      </c>
      <c r="F130" s="207" t="s">
        <v>282</v>
      </c>
      <c r="G130" s="203" t="s">
        <v>283</v>
      </c>
      <c r="H130" s="203" t="s">
        <v>282</v>
      </c>
      <c r="I130" s="203" t="s">
        <v>284</v>
      </c>
      <c r="J130" s="194" t="s">
        <v>282</v>
      </c>
      <c r="K130" s="169" t="s">
        <v>283</v>
      </c>
      <c r="L130" s="208" t="s">
        <v>283</v>
      </c>
      <c r="M130" s="194" t="s">
        <v>282</v>
      </c>
      <c r="N130" s="179" t="s">
        <v>283</v>
      </c>
      <c r="O130" s="171" t="s">
        <v>282</v>
      </c>
      <c r="P130" s="49" t="s">
        <v>570</v>
      </c>
      <c r="Q130" s="5" t="s">
        <v>286</v>
      </c>
      <c r="R130" s="6" t="s">
        <v>221</v>
      </c>
      <c r="S130" s="1" t="s">
        <v>221</v>
      </c>
      <c r="T130" s="1" t="s">
        <v>221</v>
      </c>
      <c r="U130" s="1" t="s">
        <v>221</v>
      </c>
    </row>
    <row r="131" spans="1:21" x14ac:dyDescent="0.25">
      <c r="A131" s="18" t="s">
        <v>221</v>
      </c>
      <c r="B131" s="67" t="s">
        <v>571</v>
      </c>
      <c r="C131" s="41" t="s">
        <v>221</v>
      </c>
      <c r="D131" s="203" t="s">
        <v>282</v>
      </c>
      <c r="E131" s="203" t="s">
        <v>282</v>
      </c>
      <c r="F131" s="207" t="s">
        <v>282</v>
      </c>
      <c r="G131" s="203" t="s">
        <v>283</v>
      </c>
      <c r="H131" s="203" t="s">
        <v>282</v>
      </c>
      <c r="I131" s="203" t="s">
        <v>284</v>
      </c>
      <c r="J131" s="194" t="s">
        <v>282</v>
      </c>
      <c r="K131" s="169" t="s">
        <v>283</v>
      </c>
      <c r="L131" s="208" t="s">
        <v>283</v>
      </c>
      <c r="M131" s="194" t="s">
        <v>282</v>
      </c>
      <c r="N131" s="179" t="s">
        <v>283</v>
      </c>
      <c r="O131" s="171" t="s">
        <v>282</v>
      </c>
      <c r="P131" s="49" t="s">
        <v>315</v>
      </c>
      <c r="Q131" s="5" t="s">
        <v>286</v>
      </c>
      <c r="R131" s="6" t="s">
        <v>221</v>
      </c>
      <c r="S131" s="1" t="s">
        <v>221</v>
      </c>
      <c r="T131" s="1" t="s">
        <v>221</v>
      </c>
      <c r="U131" s="1" t="s">
        <v>221</v>
      </c>
    </row>
    <row r="132" spans="1:21" x14ac:dyDescent="0.25">
      <c r="A132" s="18" t="s">
        <v>221</v>
      </c>
      <c r="B132" s="87" t="s">
        <v>572</v>
      </c>
      <c r="C132" s="41" t="s">
        <v>221</v>
      </c>
      <c r="D132" s="200" t="s">
        <v>282</v>
      </c>
      <c r="E132" s="200" t="s">
        <v>282</v>
      </c>
      <c r="F132" s="209" t="s">
        <v>282</v>
      </c>
      <c r="G132" s="200" t="s">
        <v>283</v>
      </c>
      <c r="H132" s="200" t="s">
        <v>282</v>
      </c>
      <c r="I132" s="200" t="s">
        <v>284</v>
      </c>
      <c r="J132" s="195" t="s">
        <v>282</v>
      </c>
      <c r="K132" s="190" t="s">
        <v>283</v>
      </c>
      <c r="L132" s="210" t="s">
        <v>283</v>
      </c>
      <c r="M132" s="195" t="s">
        <v>282</v>
      </c>
      <c r="N132" s="203" t="s">
        <v>283</v>
      </c>
      <c r="O132" s="171" t="s">
        <v>282</v>
      </c>
      <c r="P132" s="84" t="s">
        <v>315</v>
      </c>
      <c r="Q132" s="5" t="s">
        <v>286</v>
      </c>
      <c r="R132" s="6" t="s">
        <v>221</v>
      </c>
      <c r="S132" s="1" t="s">
        <v>221</v>
      </c>
      <c r="T132" s="1" t="s">
        <v>221</v>
      </c>
      <c r="U132" s="1" t="s">
        <v>221</v>
      </c>
    </row>
    <row r="133" spans="1:21" x14ac:dyDescent="0.25">
      <c r="A133" s="18" t="s">
        <v>221</v>
      </c>
      <c r="B133" s="67" t="s">
        <v>573</v>
      </c>
      <c r="C133" s="94" t="s">
        <v>221</v>
      </c>
      <c r="D133" s="203"/>
      <c r="E133" s="203" t="s">
        <v>282</v>
      </c>
      <c r="F133" s="211" t="s">
        <v>282</v>
      </c>
      <c r="G133" s="212" t="s">
        <v>283</v>
      </c>
      <c r="H133" s="212" t="s">
        <v>282</v>
      </c>
      <c r="I133" s="212" t="s">
        <v>284</v>
      </c>
      <c r="J133" s="213" t="s">
        <v>282</v>
      </c>
      <c r="K133" s="169" t="s">
        <v>283</v>
      </c>
      <c r="L133" s="208" t="s">
        <v>283</v>
      </c>
      <c r="M133" s="194" t="s">
        <v>282</v>
      </c>
      <c r="N133" s="179" t="s">
        <v>283</v>
      </c>
      <c r="O133" s="171" t="s">
        <v>282</v>
      </c>
      <c r="P133" s="98" t="s">
        <v>574</v>
      </c>
      <c r="Q133" s="5" t="s">
        <v>286</v>
      </c>
      <c r="R133" s="6" t="s">
        <v>221</v>
      </c>
      <c r="S133" s="1" t="s">
        <v>221</v>
      </c>
      <c r="T133" s="1" t="s">
        <v>221</v>
      </c>
      <c r="U133" s="1" t="s">
        <v>221</v>
      </c>
    </row>
    <row r="134" spans="1:21" x14ac:dyDescent="0.25">
      <c r="A134" s="18" t="s">
        <v>575</v>
      </c>
      <c r="B134" s="99" t="s">
        <v>576</v>
      </c>
      <c r="C134" s="41" t="s">
        <v>221</v>
      </c>
      <c r="D134" s="199" t="s">
        <v>577</v>
      </c>
      <c r="E134" s="199" t="s">
        <v>282</v>
      </c>
      <c r="F134" s="205" t="s">
        <v>282</v>
      </c>
      <c r="G134" s="199" t="s">
        <v>283</v>
      </c>
      <c r="H134" s="199" t="s">
        <v>282</v>
      </c>
      <c r="I134" s="199" t="s">
        <v>284</v>
      </c>
      <c r="J134" s="193" t="s">
        <v>282</v>
      </c>
      <c r="K134" s="184" t="s">
        <v>283</v>
      </c>
      <c r="L134" s="206" t="s">
        <v>283</v>
      </c>
      <c r="M134" s="193" t="s">
        <v>282</v>
      </c>
      <c r="N134" s="179" t="s">
        <v>283</v>
      </c>
      <c r="O134" s="171" t="s">
        <v>282</v>
      </c>
      <c r="P134" s="65" t="s">
        <v>578</v>
      </c>
      <c r="Q134" s="5" t="s">
        <v>286</v>
      </c>
      <c r="R134" s="6" t="s">
        <v>221</v>
      </c>
      <c r="S134" s="1" t="s">
        <v>221</v>
      </c>
      <c r="T134" s="1" t="s">
        <v>221</v>
      </c>
      <c r="U134" s="1" t="s">
        <v>221</v>
      </c>
    </row>
    <row r="135" spans="1:21" x14ac:dyDescent="0.25">
      <c r="A135" s="18" t="s">
        <v>221</v>
      </c>
      <c r="B135" s="100" t="s">
        <v>579</v>
      </c>
      <c r="C135" s="41" t="s">
        <v>221</v>
      </c>
      <c r="D135" s="180" t="s">
        <v>282</v>
      </c>
      <c r="E135" s="180" t="s">
        <v>282</v>
      </c>
      <c r="F135" s="214" t="s">
        <v>282</v>
      </c>
      <c r="G135" s="180" t="s">
        <v>283</v>
      </c>
      <c r="H135" s="180" t="s">
        <v>282</v>
      </c>
      <c r="I135" s="215" t="s">
        <v>284</v>
      </c>
      <c r="J135" s="215" t="s">
        <v>282</v>
      </c>
      <c r="K135" s="173" t="s">
        <v>283</v>
      </c>
      <c r="L135" s="216" t="s">
        <v>283</v>
      </c>
      <c r="M135" s="217" t="s">
        <v>282</v>
      </c>
      <c r="N135" s="180" t="s">
        <v>283</v>
      </c>
      <c r="O135" s="175" t="s">
        <v>282</v>
      </c>
      <c r="P135" s="52" t="s">
        <v>315</v>
      </c>
      <c r="Q135" s="5" t="s">
        <v>286</v>
      </c>
      <c r="R135" s="6" t="s">
        <v>221</v>
      </c>
      <c r="S135" s="1" t="s">
        <v>221</v>
      </c>
      <c r="T135" s="1" t="s">
        <v>221</v>
      </c>
      <c r="U135" s="1" t="s">
        <v>221</v>
      </c>
    </row>
    <row r="136" spans="1:21" x14ac:dyDescent="0.25">
      <c r="A136" s="18" t="s">
        <v>221</v>
      </c>
      <c r="B136" s="104"/>
      <c r="C136" s="41" t="s">
        <v>221</v>
      </c>
      <c r="D136" s="155" t="s">
        <v>221</v>
      </c>
      <c r="E136" s="155" t="s">
        <v>221</v>
      </c>
      <c r="F136" s="155" t="s">
        <v>221</v>
      </c>
      <c r="G136" s="155" t="s">
        <v>221</v>
      </c>
      <c r="H136" s="155" t="s">
        <v>221</v>
      </c>
      <c r="I136" s="155" t="s">
        <v>221</v>
      </c>
      <c r="J136" s="218" t="s">
        <v>221</v>
      </c>
      <c r="K136" s="155" t="s">
        <v>221</v>
      </c>
      <c r="L136" s="218" t="s">
        <v>221</v>
      </c>
      <c r="M136" s="218" t="s">
        <v>221</v>
      </c>
      <c r="N136" s="218" t="s">
        <v>221</v>
      </c>
      <c r="O136" s="218" t="s">
        <v>221</v>
      </c>
      <c r="P136" s="105" t="s">
        <v>221</v>
      </c>
      <c r="Q136" s="5" t="s">
        <v>286</v>
      </c>
      <c r="R136" s="6" t="s">
        <v>221</v>
      </c>
      <c r="S136" s="1" t="s">
        <v>221</v>
      </c>
      <c r="T136" s="1" t="s">
        <v>221</v>
      </c>
      <c r="U136" s="1" t="s">
        <v>221</v>
      </c>
    </row>
    <row r="137" spans="1:21" x14ac:dyDescent="0.25">
      <c r="A137" s="18" t="s">
        <v>580</v>
      </c>
      <c r="B137" s="40" t="s">
        <v>581</v>
      </c>
      <c r="C137" s="41" t="s">
        <v>221</v>
      </c>
      <c r="D137" s="176" t="s">
        <v>582</v>
      </c>
      <c r="E137" s="176" t="s">
        <v>282</v>
      </c>
      <c r="F137" s="176" t="s">
        <v>282</v>
      </c>
      <c r="G137" s="176" t="s">
        <v>283</v>
      </c>
      <c r="H137" s="176" t="s">
        <v>282</v>
      </c>
      <c r="I137" s="176" t="s">
        <v>284</v>
      </c>
      <c r="J137" s="176" t="s">
        <v>282</v>
      </c>
      <c r="K137" s="176" t="s">
        <v>283</v>
      </c>
      <c r="L137" s="176" t="s">
        <v>283</v>
      </c>
      <c r="M137" s="176" t="s">
        <v>282</v>
      </c>
      <c r="N137" s="176" t="s">
        <v>283</v>
      </c>
      <c r="O137" s="176" t="s">
        <v>282</v>
      </c>
      <c r="P137" s="106" t="s">
        <v>583</v>
      </c>
      <c r="Q137" s="5" t="s">
        <v>286</v>
      </c>
      <c r="R137" s="6" t="s">
        <v>221</v>
      </c>
      <c r="S137" s="1" t="s">
        <v>221</v>
      </c>
      <c r="T137" s="1" t="s">
        <v>221</v>
      </c>
      <c r="U137" s="1" t="s">
        <v>221</v>
      </c>
    </row>
    <row r="138" spans="1:21" x14ac:dyDescent="0.25">
      <c r="A138" s="18" t="s">
        <v>319</v>
      </c>
      <c r="B138" s="41" t="s">
        <v>221</v>
      </c>
      <c r="C138" s="41" t="s">
        <v>221</v>
      </c>
      <c r="D138" s="155" t="s">
        <v>221</v>
      </c>
      <c r="E138" s="155" t="s">
        <v>221</v>
      </c>
      <c r="F138" s="155" t="s">
        <v>221</v>
      </c>
      <c r="G138" s="155" t="s">
        <v>221</v>
      </c>
      <c r="H138" s="155" t="s">
        <v>221</v>
      </c>
      <c r="I138" s="155" t="s">
        <v>221</v>
      </c>
      <c r="J138" s="218" t="s">
        <v>221</v>
      </c>
      <c r="K138" s="155" t="s">
        <v>221</v>
      </c>
      <c r="L138" s="218" t="s">
        <v>221</v>
      </c>
      <c r="M138" s="218" t="s">
        <v>221</v>
      </c>
      <c r="N138" s="218" t="s">
        <v>221</v>
      </c>
      <c r="O138" s="218" t="s">
        <v>221</v>
      </c>
      <c r="P138" s="3" t="s">
        <v>315</v>
      </c>
      <c r="Q138" s="5" t="s">
        <v>286</v>
      </c>
      <c r="R138" s="6" t="s">
        <v>221</v>
      </c>
      <c r="S138" s="1" t="s">
        <v>221</v>
      </c>
      <c r="T138" s="1" t="s">
        <v>221</v>
      </c>
      <c r="U138" s="1" t="s">
        <v>221</v>
      </c>
    </row>
    <row r="139" spans="1:21" x14ac:dyDescent="0.25">
      <c r="A139" s="18" t="s">
        <v>584</v>
      </c>
      <c r="B139" s="40" t="s">
        <v>585</v>
      </c>
      <c r="C139" s="41" t="s">
        <v>221</v>
      </c>
      <c r="D139" s="176" t="s">
        <v>586</v>
      </c>
      <c r="E139" s="176" t="s">
        <v>282</v>
      </c>
      <c r="F139" s="176" t="s">
        <v>282</v>
      </c>
      <c r="G139" s="176" t="s">
        <v>283</v>
      </c>
      <c r="H139" s="176" t="s">
        <v>282</v>
      </c>
      <c r="I139" s="176" t="s">
        <v>284</v>
      </c>
      <c r="J139" s="176" t="s">
        <v>282</v>
      </c>
      <c r="K139" s="176" t="s">
        <v>283</v>
      </c>
      <c r="L139" s="176" t="s">
        <v>283</v>
      </c>
      <c r="M139" s="176" t="s">
        <v>282</v>
      </c>
      <c r="N139" s="176" t="s">
        <v>283</v>
      </c>
      <c r="O139" s="176" t="s">
        <v>282</v>
      </c>
      <c r="P139" s="106" t="s">
        <v>587</v>
      </c>
      <c r="Q139" s="5" t="s">
        <v>286</v>
      </c>
      <c r="R139" s="6" t="s">
        <v>221</v>
      </c>
      <c r="S139" s="1" t="s">
        <v>221</v>
      </c>
      <c r="T139" s="1" t="s">
        <v>221</v>
      </c>
      <c r="U139" s="1" t="s">
        <v>221</v>
      </c>
    </row>
    <row r="140" spans="1:21" x14ac:dyDescent="0.25">
      <c r="A140" s="18" t="s">
        <v>319</v>
      </c>
      <c r="B140" s="1" t="s">
        <v>221</v>
      </c>
      <c r="C140" s="41" t="s">
        <v>221</v>
      </c>
      <c r="D140" s="155" t="s">
        <v>221</v>
      </c>
      <c r="E140" s="155" t="s">
        <v>221</v>
      </c>
      <c r="F140" s="155" t="s">
        <v>221</v>
      </c>
      <c r="G140" s="155" t="s">
        <v>221</v>
      </c>
      <c r="H140" s="155" t="s">
        <v>221</v>
      </c>
      <c r="I140" s="155" t="s">
        <v>221</v>
      </c>
      <c r="J140" s="218" t="s">
        <v>221</v>
      </c>
      <c r="K140" s="155" t="s">
        <v>221</v>
      </c>
      <c r="L140" s="218" t="s">
        <v>221</v>
      </c>
      <c r="M140" s="218" t="s">
        <v>221</v>
      </c>
      <c r="N140" s="218" t="s">
        <v>221</v>
      </c>
      <c r="O140" s="218" t="s">
        <v>221</v>
      </c>
      <c r="P140" s="105" t="s">
        <v>221</v>
      </c>
      <c r="Q140" s="5" t="s">
        <v>286</v>
      </c>
      <c r="R140" s="6" t="s">
        <v>221</v>
      </c>
      <c r="S140" s="1" t="s">
        <v>221</v>
      </c>
      <c r="T140" s="1" t="s">
        <v>221</v>
      </c>
      <c r="U140" s="1" t="s">
        <v>221</v>
      </c>
    </row>
    <row r="141" spans="1:21" x14ac:dyDescent="0.25">
      <c r="A141" s="1" t="s">
        <v>221</v>
      </c>
      <c r="B141" s="107" t="s">
        <v>588</v>
      </c>
      <c r="C141" s="1" t="s">
        <v>221</v>
      </c>
      <c r="D141" s="219" t="s">
        <v>586</v>
      </c>
      <c r="E141" s="219" t="s">
        <v>282</v>
      </c>
      <c r="F141" s="219" t="s">
        <v>282</v>
      </c>
      <c r="G141" s="220" t="s">
        <v>283</v>
      </c>
      <c r="H141" s="219" t="s">
        <v>282</v>
      </c>
      <c r="I141" s="220" t="s">
        <v>284</v>
      </c>
      <c r="J141" s="219" t="s">
        <v>282</v>
      </c>
      <c r="K141" s="219" t="s">
        <v>283</v>
      </c>
      <c r="L141" s="219" t="s">
        <v>283</v>
      </c>
      <c r="M141" s="219" t="s">
        <v>282</v>
      </c>
      <c r="N141" s="219" t="s">
        <v>283</v>
      </c>
      <c r="O141" s="219" t="s">
        <v>282</v>
      </c>
      <c r="P141" s="108" t="s">
        <v>587</v>
      </c>
      <c r="Q141" s="5" t="s">
        <v>286</v>
      </c>
      <c r="R141" s="1" t="s">
        <v>221</v>
      </c>
      <c r="S141" s="1" t="s">
        <v>221</v>
      </c>
      <c r="T141" s="1" t="s">
        <v>221</v>
      </c>
      <c r="U141" s="1" t="s">
        <v>221</v>
      </c>
    </row>
    <row r="142" spans="1:21" x14ac:dyDescent="0.25">
      <c r="A142" s="1" t="s">
        <v>221</v>
      </c>
      <c r="B142" s="1" t="s">
        <v>221</v>
      </c>
      <c r="C142" s="1" t="s">
        <v>221</v>
      </c>
      <c r="D142" s="221" t="s">
        <v>221</v>
      </c>
      <c r="E142" s="221" t="s">
        <v>221</v>
      </c>
      <c r="F142" s="221" t="s">
        <v>221</v>
      </c>
      <c r="G142" s="221" t="s">
        <v>221</v>
      </c>
      <c r="H142" s="221" t="s">
        <v>221</v>
      </c>
      <c r="I142" s="221" t="s">
        <v>221</v>
      </c>
      <c r="J142" s="221" t="s">
        <v>221</v>
      </c>
      <c r="K142" s="221" t="s">
        <v>221</v>
      </c>
      <c r="L142" s="221" t="s">
        <v>221</v>
      </c>
      <c r="M142" s="221" t="s">
        <v>221</v>
      </c>
      <c r="N142" s="221" t="s">
        <v>221</v>
      </c>
      <c r="O142" s="157" t="s">
        <v>221</v>
      </c>
      <c r="P142" s="4" t="s">
        <v>221</v>
      </c>
      <c r="Q142" s="5" t="s">
        <v>286</v>
      </c>
      <c r="R142" s="1" t="s">
        <v>221</v>
      </c>
      <c r="S142" s="1" t="s">
        <v>221</v>
      </c>
      <c r="T142" s="1" t="s">
        <v>221</v>
      </c>
      <c r="U142" s="1" t="s">
        <v>221</v>
      </c>
    </row>
    <row r="143" spans="1:21" x14ac:dyDescent="0.25">
      <c r="A143" s="110"/>
      <c r="B143" s="111"/>
      <c r="C143" s="112"/>
      <c r="D143" s="222"/>
      <c r="E143" s="222"/>
      <c r="F143" s="222"/>
      <c r="G143" s="222"/>
      <c r="H143" s="222"/>
      <c r="I143" s="222"/>
      <c r="J143" s="222"/>
      <c r="K143" s="222"/>
      <c r="L143" s="222"/>
      <c r="M143" s="222"/>
      <c r="N143" s="222"/>
      <c r="O143" s="223"/>
      <c r="P143" s="114"/>
      <c r="Q143" s="5" t="s">
        <v>286</v>
      </c>
      <c r="R143" s="115"/>
      <c r="S143" s="116"/>
      <c r="T143" s="116"/>
      <c r="U143" s="116"/>
    </row>
    <row r="144" spans="1:21" x14ac:dyDescent="0.25">
      <c r="A144" s="110"/>
      <c r="B144" s="111"/>
      <c r="C144" s="112"/>
      <c r="D144" s="222"/>
      <c r="E144" s="222"/>
      <c r="F144" s="222"/>
      <c r="G144" s="222"/>
      <c r="H144" s="222"/>
      <c r="I144" s="222"/>
      <c r="J144" s="222"/>
      <c r="K144" s="222"/>
      <c r="L144" s="222"/>
      <c r="M144" s="222"/>
      <c r="N144" s="222"/>
      <c r="O144" s="223"/>
      <c r="P144" s="114"/>
      <c r="Q144" s="5" t="s">
        <v>286</v>
      </c>
      <c r="R144" s="115"/>
      <c r="S144" s="116"/>
      <c r="T144" s="116"/>
      <c r="U144" s="116"/>
    </row>
    <row r="145" spans="1:21" x14ac:dyDescent="0.25">
      <c r="A145" s="110"/>
      <c r="B145" s="111"/>
      <c r="C145" s="112"/>
      <c r="D145" s="222"/>
      <c r="E145" s="222"/>
      <c r="F145" s="222"/>
      <c r="G145" s="222"/>
      <c r="H145" s="222"/>
      <c r="I145" s="222"/>
      <c r="J145" s="222"/>
      <c r="K145" s="222"/>
      <c r="L145" s="222"/>
      <c r="M145" s="222"/>
      <c r="N145" s="222"/>
      <c r="O145" s="223"/>
      <c r="P145" s="114"/>
      <c r="Q145" s="5" t="s">
        <v>286</v>
      </c>
      <c r="R145" s="115"/>
      <c r="S145" s="116"/>
      <c r="T145" s="116"/>
      <c r="U145" s="116"/>
    </row>
    <row r="146" spans="1:21" x14ac:dyDescent="0.25">
      <c r="A146" s="18" t="s">
        <v>221</v>
      </c>
      <c r="B146" s="9" t="s">
        <v>221</v>
      </c>
      <c r="C146" s="41" t="s">
        <v>221</v>
      </c>
      <c r="D146" s="155" t="s">
        <v>221</v>
      </c>
      <c r="E146" s="155" t="s">
        <v>221</v>
      </c>
      <c r="F146" s="155" t="s">
        <v>221</v>
      </c>
      <c r="G146" s="155" t="s">
        <v>221</v>
      </c>
      <c r="H146" s="155" t="s">
        <v>221</v>
      </c>
      <c r="I146" s="155" t="s">
        <v>221</v>
      </c>
      <c r="J146" s="218" t="s">
        <v>221</v>
      </c>
      <c r="K146" s="155" t="s">
        <v>221</v>
      </c>
      <c r="L146" s="218" t="s">
        <v>221</v>
      </c>
      <c r="M146" s="218" t="s">
        <v>221</v>
      </c>
      <c r="N146" s="218" t="s">
        <v>221</v>
      </c>
      <c r="O146" s="218" t="s">
        <v>221</v>
      </c>
      <c r="P146" s="105" t="s">
        <v>221</v>
      </c>
      <c r="Q146" s="5" t="s">
        <v>286</v>
      </c>
      <c r="R146" s="6" t="s">
        <v>221</v>
      </c>
      <c r="S146" s="1" t="s">
        <v>221</v>
      </c>
      <c r="T146" s="1" t="s">
        <v>221</v>
      </c>
      <c r="U146" s="1" t="s">
        <v>221</v>
      </c>
    </row>
    <row r="147" spans="1:21" x14ac:dyDescent="0.25">
      <c r="A147" s="18" t="s">
        <v>221</v>
      </c>
      <c r="B147" s="117" t="s">
        <v>589</v>
      </c>
      <c r="C147" s="41" t="s">
        <v>221</v>
      </c>
      <c r="D147" s="224" t="s">
        <v>590</v>
      </c>
      <c r="E147" s="224" t="s">
        <v>282</v>
      </c>
      <c r="F147" s="224" t="s">
        <v>282</v>
      </c>
      <c r="G147" s="224" t="s">
        <v>283</v>
      </c>
      <c r="H147" s="224" t="s">
        <v>282</v>
      </c>
      <c r="I147" s="224" t="s">
        <v>284</v>
      </c>
      <c r="J147" s="224" t="s">
        <v>282</v>
      </c>
      <c r="K147" s="224" t="s">
        <v>283</v>
      </c>
      <c r="L147" s="224" t="s">
        <v>283</v>
      </c>
      <c r="M147" s="224" t="s">
        <v>282</v>
      </c>
      <c r="N147" s="224" t="s">
        <v>283</v>
      </c>
      <c r="O147" s="224" t="s">
        <v>282</v>
      </c>
      <c r="P147" s="119" t="s">
        <v>591</v>
      </c>
      <c r="Q147" s="5" t="s">
        <v>286</v>
      </c>
      <c r="R147" s="6" t="s">
        <v>221</v>
      </c>
      <c r="S147" s="1" t="s">
        <v>221</v>
      </c>
      <c r="T147" s="1" t="s">
        <v>221</v>
      </c>
      <c r="U147" s="1" t="s">
        <v>221</v>
      </c>
    </row>
    <row r="148" spans="1:21" x14ac:dyDescent="0.25">
      <c r="A148" s="18" t="s">
        <v>319</v>
      </c>
      <c r="B148" s="67" t="s">
        <v>592</v>
      </c>
      <c r="C148" s="41" t="s">
        <v>221</v>
      </c>
      <c r="D148" s="225" t="s">
        <v>593</v>
      </c>
      <c r="E148" s="225" t="s">
        <v>282</v>
      </c>
      <c r="F148" s="225" t="s">
        <v>282</v>
      </c>
      <c r="G148" s="225" t="s">
        <v>283</v>
      </c>
      <c r="H148" s="225" t="s">
        <v>282</v>
      </c>
      <c r="I148" s="225" t="s">
        <v>284</v>
      </c>
      <c r="J148" s="225" t="s">
        <v>282</v>
      </c>
      <c r="K148" s="165" t="s">
        <v>283</v>
      </c>
      <c r="L148" s="226" t="s">
        <v>283</v>
      </c>
      <c r="M148" s="226" t="s">
        <v>282</v>
      </c>
      <c r="N148" s="227" t="s">
        <v>283</v>
      </c>
      <c r="O148" s="167" t="s">
        <v>282</v>
      </c>
      <c r="P148" s="47" t="s">
        <v>594</v>
      </c>
      <c r="Q148" s="5" t="s">
        <v>286</v>
      </c>
      <c r="R148" s="6" t="s">
        <v>221</v>
      </c>
      <c r="S148" s="1" t="s">
        <v>221</v>
      </c>
      <c r="T148" s="1" t="s">
        <v>221</v>
      </c>
      <c r="U148" s="1" t="s">
        <v>221</v>
      </c>
    </row>
    <row r="149" spans="1:21" x14ac:dyDescent="0.25">
      <c r="A149" s="18" t="s">
        <v>537</v>
      </c>
      <c r="B149" s="67" t="s">
        <v>595</v>
      </c>
      <c r="C149" s="41" t="s">
        <v>221</v>
      </c>
      <c r="D149" s="203" t="s">
        <v>596</v>
      </c>
      <c r="E149" s="203" t="s">
        <v>282</v>
      </c>
      <c r="F149" s="203" t="s">
        <v>282</v>
      </c>
      <c r="G149" s="203" t="s">
        <v>283</v>
      </c>
      <c r="H149" s="203" t="s">
        <v>282</v>
      </c>
      <c r="I149" s="203" t="s">
        <v>284</v>
      </c>
      <c r="J149" s="203" t="s">
        <v>282</v>
      </c>
      <c r="K149" s="169" t="s">
        <v>283</v>
      </c>
      <c r="L149" s="194" t="s">
        <v>283</v>
      </c>
      <c r="M149" s="194" t="s">
        <v>282</v>
      </c>
      <c r="N149" s="179" t="s">
        <v>283</v>
      </c>
      <c r="O149" s="171" t="s">
        <v>282</v>
      </c>
      <c r="P149" s="49" t="s">
        <v>597</v>
      </c>
      <c r="Q149" s="5" t="s">
        <v>286</v>
      </c>
      <c r="R149" s="6" t="s">
        <v>221</v>
      </c>
      <c r="S149" s="1" t="s">
        <v>221</v>
      </c>
      <c r="T149" s="1" t="s">
        <v>221</v>
      </c>
      <c r="U149" s="1" t="s">
        <v>221</v>
      </c>
    </row>
    <row r="150" spans="1:21" x14ac:dyDescent="0.25">
      <c r="A150" s="18" t="s">
        <v>598</v>
      </c>
      <c r="B150" s="67" t="s">
        <v>599</v>
      </c>
      <c r="C150" s="41" t="s">
        <v>221</v>
      </c>
      <c r="D150" s="203" t="s">
        <v>600</v>
      </c>
      <c r="E150" s="203" t="s">
        <v>282</v>
      </c>
      <c r="F150" s="203" t="s">
        <v>282</v>
      </c>
      <c r="G150" s="203" t="s">
        <v>283</v>
      </c>
      <c r="H150" s="203" t="s">
        <v>282</v>
      </c>
      <c r="I150" s="203" t="s">
        <v>284</v>
      </c>
      <c r="J150" s="203" t="s">
        <v>282</v>
      </c>
      <c r="K150" s="169" t="s">
        <v>283</v>
      </c>
      <c r="L150" s="194" t="s">
        <v>283</v>
      </c>
      <c r="M150" s="194" t="s">
        <v>282</v>
      </c>
      <c r="N150" s="179" t="s">
        <v>283</v>
      </c>
      <c r="O150" s="171" t="s">
        <v>282</v>
      </c>
      <c r="P150" s="49" t="s">
        <v>601</v>
      </c>
      <c r="Q150" s="5" t="s">
        <v>286</v>
      </c>
      <c r="R150" s="6" t="s">
        <v>221</v>
      </c>
      <c r="S150" s="1" t="s">
        <v>221</v>
      </c>
      <c r="T150" s="1" t="s">
        <v>221</v>
      </c>
      <c r="U150" s="1" t="s">
        <v>221</v>
      </c>
    </row>
    <row r="151" spans="1:21" x14ac:dyDescent="0.25">
      <c r="A151" s="18" t="s">
        <v>221</v>
      </c>
      <c r="B151" s="67" t="s">
        <v>602</v>
      </c>
      <c r="C151" s="41" t="s">
        <v>221</v>
      </c>
      <c r="D151" s="203" t="s">
        <v>282</v>
      </c>
      <c r="E151" s="203" t="s">
        <v>282</v>
      </c>
      <c r="F151" s="203" t="s">
        <v>282</v>
      </c>
      <c r="G151" s="203" t="s">
        <v>283</v>
      </c>
      <c r="H151" s="203" t="s">
        <v>282</v>
      </c>
      <c r="I151" s="203" t="s">
        <v>284</v>
      </c>
      <c r="J151" s="203" t="s">
        <v>282</v>
      </c>
      <c r="K151" s="179" t="s">
        <v>283</v>
      </c>
      <c r="L151" s="179" t="s">
        <v>283</v>
      </c>
      <c r="M151" s="179" t="s">
        <v>282</v>
      </c>
      <c r="N151" s="179" t="s">
        <v>283</v>
      </c>
      <c r="O151" s="171" t="s">
        <v>282</v>
      </c>
      <c r="P151" s="49" t="s">
        <v>315</v>
      </c>
      <c r="Q151" s="5" t="s">
        <v>286</v>
      </c>
      <c r="R151" s="6" t="s">
        <v>221</v>
      </c>
      <c r="S151" s="1" t="s">
        <v>221</v>
      </c>
      <c r="T151" s="1" t="s">
        <v>221</v>
      </c>
      <c r="U151" s="1" t="s">
        <v>221</v>
      </c>
    </row>
    <row r="152" spans="1:21" x14ac:dyDescent="0.25">
      <c r="A152" s="18" t="s">
        <v>603</v>
      </c>
      <c r="B152" s="67" t="s">
        <v>604</v>
      </c>
      <c r="C152" s="41" t="s">
        <v>221</v>
      </c>
      <c r="D152" s="203" t="s">
        <v>605</v>
      </c>
      <c r="E152" s="203" t="s">
        <v>282</v>
      </c>
      <c r="F152" s="203" t="s">
        <v>282</v>
      </c>
      <c r="G152" s="203" t="s">
        <v>283</v>
      </c>
      <c r="H152" s="203" t="s">
        <v>282</v>
      </c>
      <c r="I152" s="203" t="s">
        <v>284</v>
      </c>
      <c r="J152" s="203" t="s">
        <v>282</v>
      </c>
      <c r="K152" s="169" t="s">
        <v>283</v>
      </c>
      <c r="L152" s="194" t="s">
        <v>283</v>
      </c>
      <c r="M152" s="194" t="s">
        <v>282</v>
      </c>
      <c r="N152" s="179" t="s">
        <v>283</v>
      </c>
      <c r="O152" s="171" t="s">
        <v>282</v>
      </c>
      <c r="P152" s="49" t="s">
        <v>606</v>
      </c>
      <c r="Q152" s="5" t="s">
        <v>286</v>
      </c>
      <c r="R152" s="6" t="s">
        <v>221</v>
      </c>
      <c r="S152" s="1" t="s">
        <v>221</v>
      </c>
      <c r="T152" s="1" t="s">
        <v>221</v>
      </c>
      <c r="U152" s="1" t="s">
        <v>221</v>
      </c>
    </row>
    <row r="153" spans="1:21" x14ac:dyDescent="0.25">
      <c r="A153" s="18" t="s">
        <v>607</v>
      </c>
      <c r="B153" s="67" t="s">
        <v>608</v>
      </c>
      <c r="C153" s="41" t="s">
        <v>221</v>
      </c>
      <c r="D153" s="203" t="s">
        <v>282</v>
      </c>
      <c r="E153" s="203" t="s">
        <v>282</v>
      </c>
      <c r="F153" s="203" t="s">
        <v>282</v>
      </c>
      <c r="G153" s="203" t="s">
        <v>283</v>
      </c>
      <c r="H153" s="203" t="s">
        <v>282</v>
      </c>
      <c r="I153" s="203" t="s">
        <v>284</v>
      </c>
      <c r="J153" s="203" t="s">
        <v>282</v>
      </c>
      <c r="K153" s="169" t="s">
        <v>283</v>
      </c>
      <c r="L153" s="194" t="s">
        <v>283</v>
      </c>
      <c r="M153" s="194" t="s">
        <v>282</v>
      </c>
      <c r="N153" s="203" t="s">
        <v>283</v>
      </c>
      <c r="O153" s="171" t="s">
        <v>282</v>
      </c>
      <c r="P153" s="49" t="s">
        <v>315</v>
      </c>
      <c r="Q153" s="5" t="s">
        <v>286</v>
      </c>
      <c r="R153" s="6" t="s">
        <v>221</v>
      </c>
      <c r="S153" s="1" t="s">
        <v>221</v>
      </c>
      <c r="T153" s="1" t="s">
        <v>221</v>
      </c>
      <c r="U153" s="1" t="s">
        <v>221</v>
      </c>
    </row>
    <row r="154" spans="1:21" x14ac:dyDescent="0.25">
      <c r="A154" s="18" t="s">
        <v>609</v>
      </c>
      <c r="B154" s="67" t="s">
        <v>610</v>
      </c>
      <c r="C154" s="41" t="s">
        <v>221</v>
      </c>
      <c r="D154" s="203" t="s">
        <v>611</v>
      </c>
      <c r="E154" s="203" t="s">
        <v>282</v>
      </c>
      <c r="F154" s="203" t="s">
        <v>282</v>
      </c>
      <c r="G154" s="203" t="s">
        <v>283</v>
      </c>
      <c r="H154" s="203" t="s">
        <v>282</v>
      </c>
      <c r="I154" s="203" t="s">
        <v>284</v>
      </c>
      <c r="J154" s="203" t="s">
        <v>282</v>
      </c>
      <c r="K154" s="169" t="s">
        <v>283</v>
      </c>
      <c r="L154" s="194" t="s">
        <v>283</v>
      </c>
      <c r="M154" s="194" t="s">
        <v>282</v>
      </c>
      <c r="N154" s="179" t="s">
        <v>283</v>
      </c>
      <c r="O154" s="171" t="s">
        <v>282</v>
      </c>
      <c r="P154" s="49" t="s">
        <v>612</v>
      </c>
      <c r="Q154" s="5" t="s">
        <v>286</v>
      </c>
      <c r="R154" s="6" t="s">
        <v>221</v>
      </c>
      <c r="S154" s="1" t="s">
        <v>221</v>
      </c>
      <c r="T154" s="1" t="s">
        <v>221</v>
      </c>
      <c r="U154" s="1" t="s">
        <v>221</v>
      </c>
    </row>
    <row r="155" spans="1:21" x14ac:dyDescent="0.25">
      <c r="A155" s="18" t="s">
        <v>613</v>
      </c>
      <c r="B155" s="67" t="s">
        <v>614</v>
      </c>
      <c r="C155" s="41" t="s">
        <v>221</v>
      </c>
      <c r="D155" s="203" t="s">
        <v>282</v>
      </c>
      <c r="E155" s="203" t="s">
        <v>282</v>
      </c>
      <c r="F155" s="203" t="s">
        <v>282</v>
      </c>
      <c r="G155" s="203" t="s">
        <v>283</v>
      </c>
      <c r="H155" s="203" t="s">
        <v>282</v>
      </c>
      <c r="I155" s="203" t="s">
        <v>284</v>
      </c>
      <c r="J155" s="203" t="s">
        <v>282</v>
      </c>
      <c r="K155" s="169" t="s">
        <v>283</v>
      </c>
      <c r="L155" s="194" t="s">
        <v>283</v>
      </c>
      <c r="M155" s="194" t="s">
        <v>282</v>
      </c>
      <c r="N155" s="203" t="s">
        <v>283</v>
      </c>
      <c r="O155" s="171" t="s">
        <v>282</v>
      </c>
      <c r="P155" s="49" t="s">
        <v>315</v>
      </c>
      <c r="Q155" s="5" t="s">
        <v>286</v>
      </c>
      <c r="R155" s="6" t="s">
        <v>221</v>
      </c>
      <c r="S155" s="1" t="s">
        <v>221</v>
      </c>
      <c r="T155" s="1" t="s">
        <v>221</v>
      </c>
      <c r="U155" s="1" t="s">
        <v>221</v>
      </c>
    </row>
    <row r="156" spans="1:21" x14ac:dyDescent="0.25">
      <c r="A156" s="18" t="s">
        <v>615</v>
      </c>
      <c r="B156" s="67" t="s">
        <v>616</v>
      </c>
      <c r="C156" s="41" t="s">
        <v>221</v>
      </c>
      <c r="D156" s="203" t="s">
        <v>282</v>
      </c>
      <c r="E156" s="203" t="s">
        <v>282</v>
      </c>
      <c r="F156" s="203" t="s">
        <v>282</v>
      </c>
      <c r="G156" s="203" t="s">
        <v>283</v>
      </c>
      <c r="H156" s="203" t="s">
        <v>282</v>
      </c>
      <c r="I156" s="203" t="s">
        <v>284</v>
      </c>
      <c r="J156" s="203" t="s">
        <v>282</v>
      </c>
      <c r="K156" s="169" t="s">
        <v>283</v>
      </c>
      <c r="L156" s="194" t="s">
        <v>283</v>
      </c>
      <c r="M156" s="194" t="s">
        <v>282</v>
      </c>
      <c r="N156" s="203" t="s">
        <v>283</v>
      </c>
      <c r="O156" s="171" t="s">
        <v>282</v>
      </c>
      <c r="P156" s="49" t="s">
        <v>315</v>
      </c>
      <c r="Q156" s="5" t="s">
        <v>286</v>
      </c>
      <c r="R156" s="6" t="s">
        <v>221</v>
      </c>
      <c r="S156" s="1" t="s">
        <v>221</v>
      </c>
      <c r="T156" s="1" t="s">
        <v>221</v>
      </c>
      <c r="U156" s="1" t="s">
        <v>221</v>
      </c>
    </row>
    <row r="157" spans="1:21" x14ac:dyDescent="0.25">
      <c r="A157" s="18" t="s">
        <v>617</v>
      </c>
      <c r="B157" s="67" t="s">
        <v>618</v>
      </c>
      <c r="C157" s="41" t="s">
        <v>221</v>
      </c>
      <c r="D157" s="203" t="s">
        <v>282</v>
      </c>
      <c r="E157" s="203" t="s">
        <v>282</v>
      </c>
      <c r="F157" s="203" t="s">
        <v>282</v>
      </c>
      <c r="G157" s="203" t="s">
        <v>283</v>
      </c>
      <c r="H157" s="203" t="s">
        <v>282</v>
      </c>
      <c r="I157" s="203" t="s">
        <v>284</v>
      </c>
      <c r="J157" s="203" t="s">
        <v>282</v>
      </c>
      <c r="K157" s="169" t="s">
        <v>283</v>
      </c>
      <c r="L157" s="194" t="s">
        <v>283</v>
      </c>
      <c r="M157" s="194" t="s">
        <v>282</v>
      </c>
      <c r="N157" s="203" t="s">
        <v>283</v>
      </c>
      <c r="O157" s="171" t="s">
        <v>282</v>
      </c>
      <c r="P157" s="49" t="s">
        <v>315</v>
      </c>
      <c r="Q157" s="5" t="s">
        <v>286</v>
      </c>
      <c r="R157" s="6" t="s">
        <v>221</v>
      </c>
      <c r="S157" s="1" t="s">
        <v>221</v>
      </c>
      <c r="T157" s="1" t="s">
        <v>221</v>
      </c>
      <c r="U157" s="1" t="s">
        <v>221</v>
      </c>
    </row>
    <row r="158" spans="1:21" x14ac:dyDescent="0.25">
      <c r="A158" s="1" t="s">
        <v>221</v>
      </c>
      <c r="B158" s="1" t="s">
        <v>221</v>
      </c>
      <c r="C158" s="1" t="s">
        <v>221</v>
      </c>
      <c r="D158" s="158" t="s">
        <v>221</v>
      </c>
      <c r="E158" s="157" t="s">
        <v>221</v>
      </c>
      <c r="F158" s="157" t="s">
        <v>221</v>
      </c>
      <c r="G158" s="157" t="s">
        <v>221</v>
      </c>
      <c r="H158" s="157" t="s">
        <v>221</v>
      </c>
      <c r="I158" s="157" t="s">
        <v>221</v>
      </c>
      <c r="J158" s="157" t="s">
        <v>221</v>
      </c>
      <c r="K158" s="157" t="s">
        <v>221</v>
      </c>
      <c r="L158" s="157" t="s">
        <v>221</v>
      </c>
      <c r="M158" s="157" t="s">
        <v>221</v>
      </c>
      <c r="N158" s="157" t="s">
        <v>221</v>
      </c>
      <c r="O158" s="157" t="s">
        <v>221</v>
      </c>
      <c r="P158" s="4" t="s">
        <v>221</v>
      </c>
      <c r="Q158" s="5" t="s">
        <v>286</v>
      </c>
      <c r="R158" s="1" t="s">
        <v>221</v>
      </c>
      <c r="S158" s="1" t="s">
        <v>221</v>
      </c>
      <c r="T158" s="1" t="s">
        <v>221</v>
      </c>
      <c r="U158" s="1" t="s">
        <v>221</v>
      </c>
    </row>
    <row r="159" spans="1:21" x14ac:dyDescent="0.25">
      <c r="A159" s="18" t="s">
        <v>221</v>
      </c>
      <c r="B159" s="122" t="s">
        <v>619</v>
      </c>
      <c r="C159" s="123" t="s">
        <v>221</v>
      </c>
      <c r="D159" s="228">
        <f>+'obligacion leasing 2026'!K3</f>
        <v>258891767</v>
      </c>
      <c r="E159" s="228" t="s">
        <v>221</v>
      </c>
      <c r="F159" s="228" t="s">
        <v>221</v>
      </c>
      <c r="G159" s="228" t="s">
        <v>221</v>
      </c>
      <c r="H159" s="228" t="s">
        <v>221</v>
      </c>
      <c r="I159" s="228" t="s">
        <v>221</v>
      </c>
      <c r="J159" s="228" t="s">
        <v>221</v>
      </c>
      <c r="K159" s="228" t="s">
        <v>221</v>
      </c>
      <c r="L159" s="228" t="s">
        <v>221</v>
      </c>
      <c r="M159" s="228" t="s">
        <v>221</v>
      </c>
      <c r="N159" s="228" t="s">
        <v>221</v>
      </c>
      <c r="O159" s="228" t="s">
        <v>221</v>
      </c>
      <c r="P159" s="124" t="s">
        <v>620</v>
      </c>
      <c r="Q159" s="5" t="s">
        <v>286</v>
      </c>
      <c r="R159" s="6" t="s">
        <v>221</v>
      </c>
      <c r="S159" s="1" t="s">
        <v>221</v>
      </c>
      <c r="T159" s="1" t="s">
        <v>221</v>
      </c>
      <c r="U159" s="1" t="s">
        <v>221</v>
      </c>
    </row>
    <row r="160" spans="1:21" x14ac:dyDescent="0.25">
      <c r="A160" s="1" t="s">
        <v>221</v>
      </c>
      <c r="B160" s="1" t="s">
        <v>221</v>
      </c>
      <c r="C160" s="1" t="s">
        <v>221</v>
      </c>
      <c r="D160" s="158" t="s">
        <v>221</v>
      </c>
      <c r="E160" s="157" t="s">
        <v>221</v>
      </c>
      <c r="F160" s="157" t="s">
        <v>221</v>
      </c>
      <c r="G160" s="157" t="s">
        <v>221</v>
      </c>
      <c r="H160" s="157" t="s">
        <v>221</v>
      </c>
      <c r="I160" s="157" t="s">
        <v>221</v>
      </c>
      <c r="J160" s="157" t="s">
        <v>221</v>
      </c>
      <c r="K160" s="157" t="s">
        <v>221</v>
      </c>
      <c r="L160" s="157" t="s">
        <v>221</v>
      </c>
      <c r="M160" s="157" t="s">
        <v>221</v>
      </c>
      <c r="N160" s="157" t="s">
        <v>221</v>
      </c>
      <c r="O160" s="157" t="s">
        <v>221</v>
      </c>
      <c r="P160" s="4" t="s">
        <v>221</v>
      </c>
      <c r="Q160" s="5" t="s">
        <v>286</v>
      </c>
      <c r="R160" s="1" t="s">
        <v>221</v>
      </c>
      <c r="S160" s="1" t="s">
        <v>221</v>
      </c>
      <c r="T160" s="1" t="s">
        <v>221</v>
      </c>
      <c r="U160" s="1" t="s">
        <v>221</v>
      </c>
    </row>
    <row r="161" spans="1:21" x14ac:dyDescent="0.25">
      <c r="A161" s="18" t="s">
        <v>221</v>
      </c>
      <c r="B161" s="1" t="s">
        <v>221</v>
      </c>
      <c r="C161" s="41" t="s">
        <v>221</v>
      </c>
      <c r="D161" s="155" t="s">
        <v>221</v>
      </c>
      <c r="E161" s="155" t="s">
        <v>221</v>
      </c>
      <c r="F161" s="155" t="s">
        <v>221</v>
      </c>
      <c r="G161" s="155" t="s">
        <v>221</v>
      </c>
      <c r="H161" s="155" t="s">
        <v>221</v>
      </c>
      <c r="I161" s="155" t="s">
        <v>221</v>
      </c>
      <c r="J161" s="218" t="s">
        <v>221</v>
      </c>
      <c r="K161" s="155" t="s">
        <v>221</v>
      </c>
      <c r="L161" s="218" t="s">
        <v>221</v>
      </c>
      <c r="M161" s="218" t="s">
        <v>221</v>
      </c>
      <c r="N161" s="218" t="s">
        <v>221</v>
      </c>
      <c r="O161" s="218" t="s">
        <v>221</v>
      </c>
      <c r="P161" s="105" t="s">
        <v>221</v>
      </c>
      <c r="Q161" s="5" t="s">
        <v>286</v>
      </c>
      <c r="R161" s="6" t="s">
        <v>221</v>
      </c>
      <c r="S161" s="1" t="s">
        <v>221</v>
      </c>
      <c r="T161" s="1" t="s">
        <v>221</v>
      </c>
      <c r="U161" s="1" t="s">
        <v>221</v>
      </c>
    </row>
    <row r="162" spans="1:21" x14ac:dyDescent="0.25">
      <c r="A162" s="18" t="s">
        <v>621</v>
      </c>
      <c r="B162" s="40" t="s">
        <v>622</v>
      </c>
      <c r="C162" s="41" t="s">
        <v>221</v>
      </c>
      <c r="D162" s="176" t="s">
        <v>590</v>
      </c>
      <c r="E162" s="176" t="s">
        <v>282</v>
      </c>
      <c r="F162" s="176" t="s">
        <v>282</v>
      </c>
      <c r="G162" s="176" t="s">
        <v>283</v>
      </c>
      <c r="H162" s="176" t="s">
        <v>282</v>
      </c>
      <c r="I162" s="176" t="s">
        <v>284</v>
      </c>
      <c r="J162" s="176" t="s">
        <v>282</v>
      </c>
      <c r="K162" s="176" t="s">
        <v>283</v>
      </c>
      <c r="L162" s="176" t="s">
        <v>283</v>
      </c>
      <c r="M162" s="176" t="s">
        <v>282</v>
      </c>
      <c r="N162" s="176" t="s">
        <v>283</v>
      </c>
      <c r="O162" s="176" t="s">
        <v>282</v>
      </c>
      <c r="P162" s="106" t="s">
        <v>591</v>
      </c>
      <c r="Q162" s="5" t="s">
        <v>286</v>
      </c>
      <c r="R162" s="6" t="s">
        <v>221</v>
      </c>
      <c r="S162" s="1" t="s">
        <v>221</v>
      </c>
      <c r="T162" s="1" t="s">
        <v>221</v>
      </c>
      <c r="U162" s="1" t="s">
        <v>221</v>
      </c>
    </row>
    <row r="163" spans="1:21" x14ac:dyDescent="0.25">
      <c r="A163" s="18" t="s">
        <v>319</v>
      </c>
      <c r="B163" s="41" t="s">
        <v>221</v>
      </c>
      <c r="C163" s="41" t="s">
        <v>221</v>
      </c>
      <c r="D163" s="155" t="s">
        <v>221</v>
      </c>
      <c r="E163" s="155" t="s">
        <v>221</v>
      </c>
      <c r="F163" s="155" t="s">
        <v>221</v>
      </c>
      <c r="G163" s="155" t="s">
        <v>221</v>
      </c>
      <c r="H163" s="155" t="s">
        <v>221</v>
      </c>
      <c r="I163" s="155" t="s">
        <v>221</v>
      </c>
      <c r="J163" s="218" t="s">
        <v>221</v>
      </c>
      <c r="K163" s="155" t="s">
        <v>221</v>
      </c>
      <c r="L163" s="218" t="s">
        <v>221</v>
      </c>
      <c r="M163" s="218" t="s">
        <v>221</v>
      </c>
      <c r="N163" s="218" t="s">
        <v>221</v>
      </c>
      <c r="O163" s="218" t="s">
        <v>221</v>
      </c>
      <c r="P163" s="3" t="s">
        <v>315</v>
      </c>
      <c r="Q163" s="5" t="s">
        <v>286</v>
      </c>
      <c r="R163" s="6" t="s">
        <v>221</v>
      </c>
      <c r="S163" s="1" t="s">
        <v>221</v>
      </c>
      <c r="T163" s="1" t="s">
        <v>221</v>
      </c>
      <c r="U163" s="1" t="s">
        <v>221</v>
      </c>
    </row>
    <row r="164" spans="1:21" x14ac:dyDescent="0.25">
      <c r="A164" s="18" t="s">
        <v>623</v>
      </c>
      <c r="B164" s="40" t="s">
        <v>624</v>
      </c>
      <c r="C164" s="41" t="s">
        <v>221</v>
      </c>
      <c r="D164" s="176" t="s">
        <v>625</v>
      </c>
      <c r="E164" s="176" t="s">
        <v>282</v>
      </c>
      <c r="F164" s="176" t="s">
        <v>282</v>
      </c>
      <c r="G164" s="176" t="s">
        <v>283</v>
      </c>
      <c r="H164" s="176" t="s">
        <v>282</v>
      </c>
      <c r="I164" s="176" t="s">
        <v>284</v>
      </c>
      <c r="J164" s="176" t="s">
        <v>282</v>
      </c>
      <c r="K164" s="176" t="s">
        <v>283</v>
      </c>
      <c r="L164" s="176" t="s">
        <v>283</v>
      </c>
      <c r="M164" s="176" t="s">
        <v>282</v>
      </c>
      <c r="N164" s="176" t="s">
        <v>283</v>
      </c>
      <c r="O164" s="176" t="s">
        <v>282</v>
      </c>
      <c r="P164" s="106" t="s">
        <v>626</v>
      </c>
      <c r="Q164" s="5" t="s">
        <v>286</v>
      </c>
      <c r="R164" s="6" t="s">
        <v>221</v>
      </c>
      <c r="S164" s="1" t="s">
        <v>221</v>
      </c>
      <c r="T164" s="1" t="s">
        <v>221</v>
      </c>
      <c r="U164" s="1" t="s">
        <v>221</v>
      </c>
    </row>
    <row r="165" spans="1:21" x14ac:dyDescent="0.25">
      <c r="A165" s="18" t="s">
        <v>627</v>
      </c>
      <c r="B165" s="1" t="s">
        <v>221</v>
      </c>
      <c r="C165" s="41" t="s">
        <v>221</v>
      </c>
      <c r="D165" s="155" t="s">
        <v>221</v>
      </c>
      <c r="E165" s="155" t="s">
        <v>221</v>
      </c>
      <c r="F165" s="155" t="s">
        <v>221</v>
      </c>
      <c r="G165" s="155" t="s">
        <v>221</v>
      </c>
      <c r="H165" s="155" t="s">
        <v>221</v>
      </c>
      <c r="I165" s="155" t="s">
        <v>221</v>
      </c>
      <c r="J165" s="177" t="s">
        <v>221</v>
      </c>
      <c r="K165" s="155" t="s">
        <v>221</v>
      </c>
      <c r="L165" s="177" t="s">
        <v>221</v>
      </c>
      <c r="M165" s="177" t="s">
        <v>221</v>
      </c>
      <c r="N165" s="177" t="s">
        <v>221</v>
      </c>
      <c r="O165" s="177" t="s">
        <v>221</v>
      </c>
      <c r="P165" s="3" t="s">
        <v>221</v>
      </c>
      <c r="Q165" s="5" t="s">
        <v>286</v>
      </c>
      <c r="R165" s="6" t="s">
        <v>221</v>
      </c>
      <c r="S165" s="1" t="s">
        <v>221</v>
      </c>
      <c r="T165" s="1" t="s">
        <v>221</v>
      </c>
      <c r="U165" s="1" t="s">
        <v>221</v>
      </c>
    </row>
    <row r="166" spans="1:21" x14ac:dyDescent="0.25">
      <c r="A166" s="18" t="s">
        <v>623</v>
      </c>
      <c r="B166" s="40" t="s">
        <v>628</v>
      </c>
      <c r="C166" s="41" t="s">
        <v>221</v>
      </c>
      <c r="D166" s="176" t="s">
        <v>625</v>
      </c>
      <c r="E166" s="176" t="s">
        <v>282</v>
      </c>
      <c r="F166" s="176" t="s">
        <v>282</v>
      </c>
      <c r="G166" s="176" t="s">
        <v>283</v>
      </c>
      <c r="H166" s="176" t="s">
        <v>282</v>
      </c>
      <c r="I166" s="176" t="s">
        <v>284</v>
      </c>
      <c r="J166" s="176" t="s">
        <v>282</v>
      </c>
      <c r="K166" s="176" t="s">
        <v>283</v>
      </c>
      <c r="L166" s="176" t="s">
        <v>283</v>
      </c>
      <c r="M166" s="176" t="s">
        <v>282</v>
      </c>
      <c r="N166" s="176" t="s">
        <v>283</v>
      </c>
      <c r="O166" s="176" t="s">
        <v>282</v>
      </c>
      <c r="P166" s="106" t="s">
        <v>626</v>
      </c>
      <c r="Q166" s="5" t="s">
        <v>286</v>
      </c>
      <c r="R166" s="6" t="s">
        <v>221</v>
      </c>
      <c r="S166" s="1" t="s">
        <v>221</v>
      </c>
      <c r="T166" s="1" t="s">
        <v>221</v>
      </c>
      <c r="U166" s="1" t="s">
        <v>221</v>
      </c>
    </row>
    <row r="167" spans="1:21" x14ac:dyDescent="0.25">
      <c r="A167" s="18" t="s">
        <v>319</v>
      </c>
      <c r="B167" s="1" t="s">
        <v>221</v>
      </c>
      <c r="C167" s="41" t="s">
        <v>221</v>
      </c>
      <c r="D167" s="156" t="s">
        <v>221</v>
      </c>
      <c r="E167" s="156" t="s">
        <v>221</v>
      </c>
      <c r="F167" s="156" t="s">
        <v>221</v>
      </c>
      <c r="G167" s="156" t="s">
        <v>221</v>
      </c>
      <c r="H167" s="156" t="s">
        <v>221</v>
      </c>
      <c r="I167" s="156" t="s">
        <v>221</v>
      </c>
      <c r="J167" s="156" t="s">
        <v>221</v>
      </c>
      <c r="K167" s="156" t="s">
        <v>221</v>
      </c>
      <c r="L167" s="156" t="s">
        <v>221</v>
      </c>
      <c r="M167" s="156" t="s">
        <v>221</v>
      </c>
      <c r="N167" s="156" t="s">
        <v>221</v>
      </c>
      <c r="O167" s="156" t="s">
        <v>221</v>
      </c>
      <c r="P167" s="3" t="s">
        <v>221</v>
      </c>
      <c r="Q167" s="125" t="s">
        <v>221</v>
      </c>
      <c r="R167" s="6" t="s">
        <v>221</v>
      </c>
      <c r="S167" s="1" t="s">
        <v>221</v>
      </c>
      <c r="T167" s="1" t="s">
        <v>221</v>
      </c>
      <c r="U167" s="1" t="s">
        <v>221</v>
      </c>
    </row>
    <row r="168" spans="1:21" x14ac:dyDescent="0.25">
      <c r="A168" s="1" t="s">
        <v>221</v>
      </c>
      <c r="B168" s="1" t="s">
        <v>221</v>
      </c>
      <c r="C168" s="41" t="s">
        <v>221</v>
      </c>
      <c r="D168" s="158" t="s">
        <v>221</v>
      </c>
      <c r="E168" s="158" t="s">
        <v>221</v>
      </c>
      <c r="F168" s="158" t="s">
        <v>221</v>
      </c>
      <c r="G168" s="158" t="s">
        <v>221</v>
      </c>
      <c r="H168" s="158" t="s">
        <v>221</v>
      </c>
      <c r="I168" s="158" t="s">
        <v>221</v>
      </c>
      <c r="J168" s="158" t="s">
        <v>221</v>
      </c>
      <c r="K168" s="158" t="s">
        <v>221</v>
      </c>
      <c r="L168" s="158" t="s">
        <v>221</v>
      </c>
      <c r="M168" s="158" t="s">
        <v>221</v>
      </c>
      <c r="N168" s="158" t="s">
        <v>221</v>
      </c>
      <c r="O168" s="157" t="s">
        <v>221</v>
      </c>
      <c r="P168" s="4" t="s">
        <v>221</v>
      </c>
      <c r="Q168" s="13" t="s">
        <v>221</v>
      </c>
      <c r="R168" s="1" t="s">
        <v>221</v>
      </c>
      <c r="S168" s="1" t="s">
        <v>221</v>
      </c>
      <c r="T168" s="1" t="s">
        <v>221</v>
      </c>
      <c r="U168" s="1" t="s">
        <v>221</v>
      </c>
    </row>
    <row r="169" spans="1:21" x14ac:dyDescent="0.25">
      <c r="A169" s="1" t="s">
        <v>221</v>
      </c>
      <c r="B169" s="1" t="s">
        <v>221</v>
      </c>
      <c r="C169" s="1" t="s">
        <v>221</v>
      </c>
      <c r="D169" s="158" t="s">
        <v>221</v>
      </c>
      <c r="E169" s="157" t="s">
        <v>221</v>
      </c>
      <c r="F169" s="157" t="s">
        <v>221</v>
      </c>
      <c r="G169" s="157" t="s">
        <v>221</v>
      </c>
      <c r="H169" s="157" t="s">
        <v>221</v>
      </c>
      <c r="I169" s="157" t="s">
        <v>221</v>
      </c>
      <c r="J169" s="157" t="s">
        <v>221</v>
      </c>
      <c r="K169" s="157" t="s">
        <v>221</v>
      </c>
      <c r="L169" s="157" t="s">
        <v>221</v>
      </c>
      <c r="M169" s="157" t="s">
        <v>221</v>
      </c>
      <c r="N169" s="229" t="s">
        <v>629</v>
      </c>
      <c r="O169" s="230" t="s">
        <v>221</v>
      </c>
      <c r="P169" s="128" t="s">
        <v>630</v>
      </c>
      <c r="Q169" s="13" t="s">
        <v>221</v>
      </c>
      <c r="R169" s="1" t="s">
        <v>221</v>
      </c>
      <c r="S169" s="1" t="s">
        <v>221</v>
      </c>
      <c r="T169" s="1" t="s">
        <v>221</v>
      </c>
      <c r="U169" s="1" t="s">
        <v>221</v>
      </c>
    </row>
    <row r="170" spans="1:21" ht="19.5" x14ac:dyDescent="0.3">
      <c r="A170" s="1"/>
      <c r="B170" s="1"/>
      <c r="C170" s="1"/>
      <c r="D170" s="158"/>
      <c r="E170" s="157"/>
      <c r="F170" s="157"/>
      <c r="G170" s="157"/>
      <c r="H170" s="157"/>
      <c r="I170" s="239"/>
      <c r="J170" s="239"/>
      <c r="K170" s="239"/>
      <c r="L170" s="239"/>
      <c r="M170" s="157"/>
      <c r="N170" s="157"/>
      <c r="O170" s="157"/>
      <c r="P170" s="4"/>
      <c r="Q170" s="13"/>
      <c r="R170" s="1"/>
      <c r="S170" s="1"/>
      <c r="T170" s="1"/>
      <c r="U170" s="1"/>
    </row>
    <row r="171" spans="1:21" x14ac:dyDescent="0.25">
      <c r="A171" s="1"/>
      <c r="B171" s="1"/>
      <c r="C171" s="1"/>
      <c r="D171" s="158"/>
      <c r="E171" s="157"/>
      <c r="F171" s="157"/>
      <c r="G171" s="157"/>
      <c r="H171" s="157"/>
      <c r="I171" s="231"/>
      <c r="J171" s="231"/>
      <c r="K171" s="232"/>
      <c r="L171" s="232"/>
      <c r="M171" s="157"/>
      <c r="N171" s="157"/>
      <c r="O171" s="157"/>
      <c r="P171" s="4"/>
      <c r="Q171" s="13"/>
      <c r="R171" s="1"/>
      <c r="S171" s="1"/>
      <c r="T171" s="1"/>
      <c r="U171" s="1"/>
    </row>
    <row r="172" spans="1:21" x14ac:dyDescent="0.25">
      <c r="A172" s="1"/>
      <c r="B172" s="1"/>
      <c r="C172" s="1"/>
      <c r="D172" s="158"/>
      <c r="E172" s="157"/>
      <c r="F172" s="157"/>
      <c r="G172" s="157"/>
      <c r="H172" s="157"/>
      <c r="I172" s="157"/>
      <c r="J172" s="157"/>
      <c r="K172" s="233"/>
      <c r="L172" s="233"/>
      <c r="M172" s="157"/>
      <c r="N172" s="157"/>
      <c r="O172" s="157"/>
      <c r="P172" s="4"/>
      <c r="Q172" s="13"/>
      <c r="R172" s="1"/>
      <c r="S172" s="1"/>
      <c r="T172" s="1"/>
      <c r="U172" s="1"/>
    </row>
    <row r="173" spans="1:21" x14ac:dyDescent="0.25">
      <c r="A173" s="1"/>
      <c r="B173" s="1"/>
      <c r="C173" s="1"/>
      <c r="D173" s="158"/>
      <c r="E173" s="157"/>
      <c r="F173" s="157"/>
      <c r="G173" s="157"/>
      <c r="H173" s="157"/>
      <c r="I173" s="157"/>
      <c r="J173" s="157"/>
      <c r="K173" s="234"/>
      <c r="L173" s="234"/>
      <c r="M173" s="157"/>
      <c r="N173" s="157"/>
      <c r="O173" s="157"/>
      <c r="P173" s="4"/>
      <c r="Q173" s="13"/>
      <c r="R173" s="1"/>
      <c r="S173" s="1"/>
      <c r="T173" s="1"/>
      <c r="U173" s="1"/>
    </row>
    <row r="174" spans="1:21" x14ac:dyDescent="0.25">
      <c r="A174" s="1"/>
      <c r="B174" s="1"/>
      <c r="C174" s="1"/>
      <c r="D174" s="158"/>
      <c r="E174" s="157"/>
      <c r="F174" s="157"/>
      <c r="G174" s="157"/>
      <c r="H174" s="157"/>
      <c r="I174" s="235"/>
      <c r="J174" s="235"/>
      <c r="K174" s="236"/>
      <c r="L174" s="236"/>
      <c r="M174" s="157"/>
      <c r="N174" s="157"/>
      <c r="O174" s="157"/>
      <c r="P174" s="4"/>
      <c r="Q174" s="13"/>
      <c r="R174" s="1"/>
      <c r="S174" s="1"/>
      <c r="T174" s="1"/>
      <c r="U174" s="1"/>
    </row>
    <row r="175" spans="1:21" x14ac:dyDescent="0.25">
      <c r="A175" s="1"/>
      <c r="B175" s="1"/>
      <c r="C175" s="1"/>
      <c r="D175" s="158"/>
      <c r="E175" s="157"/>
      <c r="F175" s="157"/>
      <c r="G175" s="157"/>
      <c r="H175" s="157"/>
      <c r="I175" s="240"/>
      <c r="J175" s="240"/>
      <c r="K175" s="233"/>
      <c r="L175" s="233"/>
      <c r="M175" s="157"/>
      <c r="N175" s="157"/>
      <c r="O175" s="157"/>
      <c r="P175" s="4"/>
      <c r="Q175" s="13"/>
      <c r="R175" s="1"/>
      <c r="S175" s="1"/>
      <c r="T175" s="1"/>
      <c r="U175" s="1"/>
    </row>
    <row r="176" spans="1:21" x14ac:dyDescent="0.25">
      <c r="A176" s="1"/>
      <c r="B176" s="1"/>
      <c r="C176" s="1"/>
      <c r="D176" s="158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4"/>
      <c r="Q176" s="13"/>
      <c r="R176" s="1"/>
      <c r="S176" s="1"/>
      <c r="T176" s="1"/>
      <c r="U176" s="1"/>
    </row>
    <row r="177" spans="1:21" x14ac:dyDescent="0.25">
      <c r="A177" s="1"/>
      <c r="B177" s="1"/>
      <c r="C177" s="1"/>
      <c r="D177" s="158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4"/>
      <c r="Q177" s="13"/>
      <c r="R177" s="1"/>
      <c r="S177" s="1"/>
      <c r="T177" s="1"/>
      <c r="U177" s="1"/>
    </row>
    <row r="178" spans="1:21" x14ac:dyDescent="0.25">
      <c r="A178" s="1"/>
      <c r="B178" s="1"/>
      <c r="C178" s="1"/>
      <c r="D178" s="158"/>
      <c r="E178" s="157"/>
      <c r="F178" s="157"/>
      <c r="G178" s="157"/>
      <c r="H178" s="157"/>
      <c r="I178" s="157"/>
      <c r="J178" s="157"/>
      <c r="K178" s="158"/>
      <c r="L178" s="158"/>
      <c r="M178" s="157"/>
      <c r="N178" s="157"/>
      <c r="O178" s="157"/>
      <c r="P178" s="4"/>
      <c r="Q178" s="13"/>
      <c r="R178" s="1"/>
      <c r="S178" s="1"/>
      <c r="T178" s="1"/>
      <c r="U178" s="1"/>
    </row>
    <row r="179" spans="1:21" x14ac:dyDescent="0.25">
      <c r="A179" s="1"/>
      <c r="B179" s="1"/>
      <c r="C179" s="1"/>
      <c r="D179" s="158"/>
      <c r="E179" s="157"/>
      <c r="F179" s="157"/>
      <c r="G179" s="157"/>
      <c r="H179" s="157"/>
      <c r="I179" s="157"/>
      <c r="J179" s="157"/>
      <c r="K179" s="158"/>
      <c r="L179" s="158"/>
      <c r="M179" s="157"/>
      <c r="N179" s="157"/>
      <c r="O179" s="157"/>
      <c r="P179" s="4"/>
      <c r="Q179" s="13"/>
      <c r="R179" s="1"/>
      <c r="S179" s="1"/>
      <c r="T179" s="1"/>
      <c r="U179" s="1"/>
    </row>
    <row r="180" spans="1:21" x14ac:dyDescent="0.25">
      <c r="A180" s="1"/>
      <c r="B180" s="1"/>
      <c r="C180" s="1"/>
      <c r="D180" s="158"/>
      <c r="E180" s="157"/>
      <c r="F180" s="157"/>
      <c r="G180" s="157"/>
      <c r="H180" s="157"/>
      <c r="I180" s="157"/>
      <c r="J180" s="157"/>
      <c r="K180" s="157"/>
      <c r="L180" s="233"/>
      <c r="M180" s="157"/>
      <c r="N180" s="157"/>
      <c r="O180" s="157"/>
      <c r="P180" s="4"/>
      <c r="Q180" s="13"/>
      <c r="R180" s="1"/>
      <c r="S180" s="1"/>
      <c r="T180" s="1"/>
      <c r="U180" s="1"/>
    </row>
  </sheetData>
  <mergeCells count="3">
    <mergeCell ref="B2:P3"/>
    <mergeCell ref="I170:L170"/>
    <mergeCell ref="I175:J17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51BDCF3809F14B9A882F67C460C906" ma:contentTypeVersion="3" ma:contentTypeDescription="Crear nuevo documento." ma:contentTypeScope="" ma:versionID="8814bbd6385fbb9228e5c8f57e6d139a">
  <xsd:schema xmlns:xsd="http://www.w3.org/2001/XMLSchema" xmlns:xs="http://www.w3.org/2001/XMLSchema" xmlns:p="http://schemas.microsoft.com/office/2006/metadata/properties" xmlns:ns2="58289d97-9a30-4749-986c-c2bf7d91c591" targetNamespace="http://schemas.microsoft.com/office/2006/metadata/properties" ma:root="true" ma:fieldsID="3488a79188b6db5a87f6d5bc3e116743" ns2:_="">
    <xsd:import namespace="58289d97-9a30-4749-986c-c2bf7d91c5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89d97-9a30-4749-986c-c2bf7d91c5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FBAF38-6E9F-4665-8DF3-CA3DB13D1B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289d97-9a30-4749-986c-c2bf7d91c5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F5A4E5-6395-4D8A-ADD9-6647673C83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B493C1-2641-4E55-AEEB-096CBA27F85C}">
  <ds:schemaRefs>
    <ds:schemaRef ds:uri="http://purl.org/dc/dcmitype/"/>
    <ds:schemaRef ds:uri="http://schemas.microsoft.com/office/2006/documentManagement/types"/>
    <ds:schemaRef ds:uri="58289d97-9a30-4749-986c-c2bf7d91c591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Año 2025</vt:lpstr>
      <vt:lpstr>obligacion leasing 2026</vt:lpstr>
      <vt:lpstr>Año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ItaloHuerta</dc:creator>
  <cp:keywords/>
  <dc:description/>
  <cp:lastModifiedBy>Sebastián Cerpa Gutiérrez</cp:lastModifiedBy>
  <cp:revision/>
  <dcterms:created xsi:type="dcterms:W3CDTF">2015-06-05T18:19:34Z</dcterms:created>
  <dcterms:modified xsi:type="dcterms:W3CDTF">2026-03-26T14:36:34Z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0x010100B551BDCF3809F14B9A882F67C460C906</vt:lpwstr>
  </property>
</Properties>
</file>